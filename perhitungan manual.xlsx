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kumen\semester 5\mathematic for ai\"/>
    </mc:Choice>
  </mc:AlternateContent>
  <bookViews>
    <workbookView xWindow="0" yWindow="0" windowWidth="19200" windowHeight="7310" firstSheet="1" activeTab="1"/>
  </bookViews>
  <sheets>
    <sheet name="Sheet1" sheetId="1" r:id="rId1"/>
    <sheet name="iterasi 1" sheetId="2" r:id="rId2"/>
    <sheet name="iterasi 2" sheetId="3" r:id="rId3"/>
    <sheet name="iterasi 3" sheetId="4" r:id="rId4"/>
    <sheet name="iterasi 4" sheetId="5" r:id="rId5"/>
    <sheet name="iterasi 5" sheetId="6" r:id="rId6"/>
    <sheet name="Hasil Akhir " sheetId="7" r:id="rId7"/>
  </sheets>
  <calcPr calcId="152511"/>
</workbook>
</file>

<file path=xl/calcChain.xml><?xml version="1.0" encoding="utf-8"?>
<calcChain xmlns="http://schemas.openxmlformats.org/spreadsheetml/2006/main">
  <c r="K51" i="7" l="1"/>
  <c r="L51" i="7" s="1"/>
  <c r="K48" i="7"/>
  <c r="L48" i="7" s="1"/>
  <c r="K47" i="7"/>
  <c r="L47" i="7" s="1"/>
  <c r="K44" i="7"/>
  <c r="L44" i="7" s="1"/>
  <c r="K43" i="7"/>
  <c r="L43" i="7" s="1"/>
  <c r="K40" i="7"/>
  <c r="L40" i="7" s="1"/>
  <c r="K39" i="7"/>
  <c r="L39" i="7" s="1"/>
  <c r="K36" i="7"/>
  <c r="L36" i="7" s="1"/>
  <c r="K35" i="7"/>
  <c r="L35" i="7" s="1"/>
  <c r="K32" i="7"/>
  <c r="L32" i="7" s="1"/>
  <c r="K28" i="7"/>
  <c r="L28" i="7" s="1"/>
  <c r="K24" i="7"/>
  <c r="L24" i="7" s="1"/>
  <c r="K20" i="7"/>
  <c r="L20" i="7" s="1"/>
  <c r="K16" i="7"/>
  <c r="L16" i="7" s="1"/>
  <c r="K12" i="7"/>
  <c r="L12" i="7" s="1"/>
  <c r="K8" i="7"/>
  <c r="L8" i="7" s="1"/>
  <c r="K4" i="7"/>
  <c r="L4" i="7" s="1"/>
  <c r="G51" i="7"/>
  <c r="G50" i="7"/>
  <c r="K50" i="7" s="1"/>
  <c r="L50" i="7" s="1"/>
  <c r="G49" i="7"/>
  <c r="K49" i="7" s="1"/>
  <c r="L49" i="7" s="1"/>
  <c r="G48" i="7"/>
  <c r="G47" i="7"/>
  <c r="G46" i="7"/>
  <c r="K46" i="7" s="1"/>
  <c r="L46" i="7" s="1"/>
  <c r="G45" i="7"/>
  <c r="K45" i="7" s="1"/>
  <c r="L45" i="7" s="1"/>
  <c r="G44" i="7"/>
  <c r="G43" i="7"/>
  <c r="G42" i="7"/>
  <c r="K42" i="7" s="1"/>
  <c r="L42" i="7" s="1"/>
  <c r="G41" i="7"/>
  <c r="K41" i="7" s="1"/>
  <c r="L41" i="7" s="1"/>
  <c r="G40" i="7"/>
  <c r="G39" i="7"/>
  <c r="G38" i="7"/>
  <c r="K38" i="7" s="1"/>
  <c r="L38" i="7" s="1"/>
  <c r="G37" i="7"/>
  <c r="K37" i="7" s="1"/>
  <c r="L37" i="7" s="1"/>
  <c r="G36" i="7"/>
  <c r="G35" i="7"/>
  <c r="G34" i="7"/>
  <c r="K34" i="7" s="1"/>
  <c r="L34" i="7" s="1"/>
  <c r="G33" i="7"/>
  <c r="K33" i="7" s="1"/>
  <c r="L33" i="7" s="1"/>
  <c r="G32" i="7"/>
  <c r="G31" i="7"/>
  <c r="K31" i="7" s="1"/>
  <c r="L31" i="7" s="1"/>
  <c r="G30" i="7"/>
  <c r="K30" i="7" s="1"/>
  <c r="L30" i="7" s="1"/>
  <c r="G29" i="7"/>
  <c r="K29" i="7" s="1"/>
  <c r="L29" i="7" s="1"/>
  <c r="G28" i="7"/>
  <c r="G27" i="7"/>
  <c r="K27" i="7" s="1"/>
  <c r="L27" i="7" s="1"/>
  <c r="G26" i="7"/>
  <c r="K26" i="7" s="1"/>
  <c r="L26" i="7" s="1"/>
  <c r="G25" i="7"/>
  <c r="K25" i="7" s="1"/>
  <c r="L25" i="7" s="1"/>
  <c r="G24" i="7"/>
  <c r="G23" i="7"/>
  <c r="K23" i="7" s="1"/>
  <c r="L23" i="7" s="1"/>
  <c r="G22" i="7"/>
  <c r="K22" i="7" s="1"/>
  <c r="L22" i="7" s="1"/>
  <c r="G21" i="7"/>
  <c r="K21" i="7" s="1"/>
  <c r="L21" i="7" s="1"/>
  <c r="G20" i="7"/>
  <c r="G19" i="7"/>
  <c r="K19" i="7" s="1"/>
  <c r="L19" i="7" s="1"/>
  <c r="G18" i="7"/>
  <c r="K18" i="7" s="1"/>
  <c r="L18" i="7" s="1"/>
  <c r="G17" i="7"/>
  <c r="K17" i="7" s="1"/>
  <c r="L17" i="7" s="1"/>
  <c r="G16" i="7"/>
  <c r="G15" i="7"/>
  <c r="K15" i="7" s="1"/>
  <c r="L15" i="7" s="1"/>
  <c r="G14" i="7"/>
  <c r="K14" i="7" s="1"/>
  <c r="L14" i="7" s="1"/>
  <c r="G13" i="7"/>
  <c r="K13" i="7" s="1"/>
  <c r="L13" i="7" s="1"/>
  <c r="G12" i="7"/>
  <c r="G11" i="7"/>
  <c r="K11" i="7" s="1"/>
  <c r="L11" i="7" s="1"/>
  <c r="G10" i="7"/>
  <c r="K10" i="7" s="1"/>
  <c r="L10" i="7" s="1"/>
  <c r="G9" i="7"/>
  <c r="K9" i="7" s="1"/>
  <c r="L9" i="7" s="1"/>
  <c r="G8" i="7"/>
  <c r="G7" i="7"/>
  <c r="K7" i="7" s="1"/>
  <c r="L7" i="7" s="1"/>
  <c r="G6" i="7"/>
  <c r="K6" i="7" s="1"/>
  <c r="L6" i="7" s="1"/>
  <c r="G5" i="7"/>
  <c r="K5" i="7" s="1"/>
  <c r="L5" i="7" s="1"/>
  <c r="G4" i="7"/>
  <c r="G3" i="7"/>
  <c r="K3" i="7" s="1"/>
  <c r="L3" i="7" s="1"/>
  <c r="G2" i="7"/>
  <c r="K2" i="7" s="1"/>
  <c r="L2" i="7" s="1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  <c r="F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G2" i="4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F14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3" i="2"/>
  <c r="F12" i="2"/>
  <c r="F11" i="2"/>
  <c r="F10" i="2"/>
  <c r="F9" i="2"/>
  <c r="F8" i="2"/>
  <c r="F7" i="2"/>
  <c r="F6" i="2"/>
  <c r="F5" i="2"/>
  <c r="F4" i="2"/>
  <c r="F3" i="2"/>
  <c r="F2" i="2"/>
  <c r="H56" i="7" l="1"/>
  <c r="H55" i="7"/>
</calcChain>
</file>

<file path=xl/sharedStrings.xml><?xml version="1.0" encoding="utf-8"?>
<sst xmlns="http://schemas.openxmlformats.org/spreadsheetml/2006/main" count="61" uniqueCount="24">
  <si>
    <t>No</t>
  </si>
  <si>
    <t>IPK</t>
  </si>
  <si>
    <t>Kehadiran</t>
  </si>
  <si>
    <t>Beasiswa</t>
  </si>
  <si>
    <t>Lulus</t>
  </si>
  <si>
    <t>Keterangan</t>
  </si>
  <si>
    <t>Jumlah Siswa</t>
  </si>
  <si>
    <t>Lulus (1)</t>
  </si>
  <si>
    <t>Tidak Lulus (0)</t>
  </si>
  <si>
    <t>IPK &lt; 3.0</t>
  </si>
  <si>
    <t>Total</t>
  </si>
  <si>
    <t>IPK ≥ 3.0</t>
  </si>
  <si>
    <t>Validasi</t>
  </si>
  <si>
    <t xml:space="preserve">Validasi </t>
  </si>
  <si>
    <t>P4</t>
  </si>
  <si>
    <t>VALIDASI</t>
  </si>
  <si>
    <t>P5</t>
  </si>
  <si>
    <t>P1</t>
  </si>
  <si>
    <t>P2</t>
  </si>
  <si>
    <t>P3</t>
  </si>
  <si>
    <t>Voting akhir</t>
  </si>
  <si>
    <t>Validasi final</t>
  </si>
  <si>
    <t>total benar akhir =</t>
  </si>
  <si>
    <t xml:space="preserve">total salah akhir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</si>
</sst>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0"/>
      <color theme="1"/>
      <name val="Arial Unicode MS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4" fillId="0" borderId="0" xfId="0" applyFont="1" applyAlignment="1">
      <alignment horizontal="left" vertical="center" indent="2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selection activeCell="A8" sqref="A1:E51"/>
    </sheetView>
  </sheetViews>
  <sheetFormatPr defaultRowHeight="14.5" x14ac:dyDescent="0.35"/>
  <cols>
    <col min="2" max="2" width="12.1796875" customWidth="1"/>
    <col min="3" max="3" width="11.7265625" customWidth="1"/>
    <col min="4" max="4" width="9.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7">
        <v>1</v>
      </c>
      <c r="B2" s="7">
        <v>3.5</v>
      </c>
      <c r="C2" s="7">
        <v>90</v>
      </c>
      <c r="D2" s="7">
        <v>0</v>
      </c>
      <c r="E2" s="7">
        <v>1</v>
      </c>
    </row>
    <row r="3" spans="1:5" x14ac:dyDescent="0.35">
      <c r="A3" s="7">
        <v>2</v>
      </c>
      <c r="B3" s="7">
        <v>2.8</v>
      </c>
      <c r="C3" s="7">
        <v>75</v>
      </c>
      <c r="D3" s="7">
        <v>1</v>
      </c>
      <c r="E3" s="7">
        <v>0</v>
      </c>
    </row>
    <row r="4" spans="1:5" x14ac:dyDescent="0.35">
      <c r="A4" s="7">
        <v>3</v>
      </c>
      <c r="B4" s="7">
        <v>3.2</v>
      </c>
      <c r="C4" s="7">
        <v>85</v>
      </c>
      <c r="D4" s="7">
        <v>0</v>
      </c>
      <c r="E4" s="7">
        <v>1</v>
      </c>
    </row>
    <row r="5" spans="1:5" x14ac:dyDescent="0.35">
      <c r="A5" s="7">
        <v>4</v>
      </c>
      <c r="B5" s="7">
        <v>2.5</v>
      </c>
      <c r="C5" s="7">
        <v>60</v>
      </c>
      <c r="D5" s="7">
        <v>1</v>
      </c>
      <c r="E5" s="7">
        <v>0</v>
      </c>
    </row>
    <row r="6" spans="1:5" x14ac:dyDescent="0.35">
      <c r="A6" s="7">
        <v>5</v>
      </c>
      <c r="B6" s="7">
        <v>3.8</v>
      </c>
      <c r="C6" s="7">
        <v>95</v>
      </c>
      <c r="D6" s="7">
        <v>0</v>
      </c>
      <c r="E6" s="7">
        <v>1</v>
      </c>
    </row>
    <row r="7" spans="1:5" x14ac:dyDescent="0.35">
      <c r="A7" s="7">
        <v>6</v>
      </c>
      <c r="B7" s="7">
        <v>2.9</v>
      </c>
      <c r="C7" s="7">
        <v>70</v>
      </c>
      <c r="D7" s="7">
        <v>1</v>
      </c>
      <c r="E7" s="7">
        <v>0</v>
      </c>
    </row>
    <row r="8" spans="1:5" x14ac:dyDescent="0.35">
      <c r="A8" s="7">
        <v>7</v>
      </c>
      <c r="B8" s="7">
        <v>3.1</v>
      </c>
      <c r="C8" s="7">
        <v>80</v>
      </c>
      <c r="D8" s="7">
        <v>1</v>
      </c>
      <c r="E8" s="7">
        <v>1</v>
      </c>
    </row>
    <row r="9" spans="1:5" x14ac:dyDescent="0.35">
      <c r="A9" s="7">
        <v>8</v>
      </c>
      <c r="B9" s="7">
        <v>3.4</v>
      </c>
      <c r="C9" s="7">
        <v>88</v>
      </c>
      <c r="D9" s="7">
        <v>0</v>
      </c>
      <c r="E9" s="7">
        <v>1</v>
      </c>
    </row>
    <row r="10" spans="1:5" x14ac:dyDescent="0.35">
      <c r="A10" s="7">
        <v>9</v>
      </c>
      <c r="B10" s="7">
        <v>3.1377083333333329</v>
      </c>
      <c r="C10" s="7">
        <v>75</v>
      </c>
      <c r="D10" s="7">
        <v>1</v>
      </c>
      <c r="E10" s="7">
        <v>0</v>
      </c>
    </row>
    <row r="11" spans="1:5" x14ac:dyDescent="0.35">
      <c r="A11" s="7">
        <v>10</v>
      </c>
      <c r="B11" s="7">
        <v>3.6</v>
      </c>
      <c r="C11" s="7">
        <v>92</v>
      </c>
      <c r="D11" s="7">
        <v>0</v>
      </c>
      <c r="E11" s="7">
        <v>1</v>
      </c>
    </row>
    <row r="12" spans="1:5" x14ac:dyDescent="0.35">
      <c r="A12" s="7">
        <v>11</v>
      </c>
      <c r="B12" s="7">
        <v>2.7</v>
      </c>
      <c r="C12" s="7">
        <v>65</v>
      </c>
      <c r="D12" s="7">
        <v>1</v>
      </c>
      <c r="E12" s="7">
        <v>0</v>
      </c>
    </row>
    <row r="13" spans="1:5" x14ac:dyDescent="0.35">
      <c r="A13" s="7">
        <v>12</v>
      </c>
      <c r="B13" s="7">
        <v>3.3</v>
      </c>
      <c r="C13" s="7">
        <v>85</v>
      </c>
      <c r="D13" s="7">
        <v>0</v>
      </c>
      <c r="E13" s="7">
        <v>1</v>
      </c>
    </row>
    <row r="14" spans="1:5" x14ac:dyDescent="0.35">
      <c r="A14" s="7">
        <v>13</v>
      </c>
      <c r="B14" s="7">
        <v>3</v>
      </c>
      <c r="C14" s="7">
        <v>79.6875</v>
      </c>
      <c r="D14" s="7">
        <v>1</v>
      </c>
      <c r="E14" s="7">
        <v>1</v>
      </c>
    </row>
    <row r="15" spans="1:5" x14ac:dyDescent="0.35">
      <c r="A15" s="7">
        <v>14</v>
      </c>
      <c r="B15" s="7">
        <v>2.4</v>
      </c>
      <c r="C15" s="7">
        <v>55</v>
      </c>
      <c r="D15" s="7">
        <v>1</v>
      </c>
      <c r="E15" s="7">
        <v>0</v>
      </c>
    </row>
    <row r="16" spans="1:5" x14ac:dyDescent="0.35">
      <c r="A16" s="7">
        <v>15</v>
      </c>
      <c r="B16" s="7">
        <v>3.9</v>
      </c>
      <c r="C16" s="7">
        <v>100</v>
      </c>
      <c r="D16" s="7">
        <v>0</v>
      </c>
      <c r="E16" s="7">
        <v>1</v>
      </c>
    </row>
    <row r="17" spans="1:5" x14ac:dyDescent="0.35">
      <c r="A17" s="7">
        <v>16</v>
      </c>
      <c r="B17" s="7">
        <v>3.25</v>
      </c>
      <c r="C17" s="7">
        <v>82</v>
      </c>
      <c r="D17" s="7">
        <v>0</v>
      </c>
      <c r="E17" s="7">
        <v>1</v>
      </c>
    </row>
    <row r="18" spans="1:5" x14ac:dyDescent="0.35">
      <c r="A18" s="7">
        <v>17</v>
      </c>
      <c r="B18" s="7">
        <v>2.65</v>
      </c>
      <c r="C18" s="7">
        <v>70</v>
      </c>
      <c r="D18" s="7">
        <v>1</v>
      </c>
      <c r="E18" s="7">
        <v>0</v>
      </c>
    </row>
    <row r="19" spans="1:5" x14ac:dyDescent="0.35">
      <c r="A19" s="7">
        <v>18</v>
      </c>
      <c r="B19" s="7">
        <v>3.15</v>
      </c>
      <c r="C19" s="7">
        <v>78</v>
      </c>
      <c r="D19" s="7">
        <v>1</v>
      </c>
      <c r="E19" s="7">
        <v>1</v>
      </c>
    </row>
    <row r="20" spans="1:5" x14ac:dyDescent="0.35">
      <c r="A20" s="7">
        <v>19</v>
      </c>
      <c r="B20" s="7">
        <v>3.45</v>
      </c>
      <c r="C20" s="7">
        <v>90</v>
      </c>
      <c r="D20" s="7">
        <v>0</v>
      </c>
      <c r="E20" s="7">
        <v>1</v>
      </c>
    </row>
    <row r="21" spans="1:5" x14ac:dyDescent="0.35">
      <c r="A21" s="7">
        <v>20</v>
      </c>
      <c r="B21" s="7">
        <v>2.85</v>
      </c>
      <c r="C21" s="7">
        <v>72</v>
      </c>
      <c r="D21" s="7">
        <v>1</v>
      </c>
      <c r="E21" s="7">
        <v>0</v>
      </c>
    </row>
    <row r="22" spans="1:5" x14ac:dyDescent="0.35">
      <c r="A22" s="7">
        <v>21</v>
      </c>
      <c r="B22" s="7">
        <v>3.7</v>
      </c>
      <c r="C22" s="7">
        <v>94</v>
      </c>
      <c r="D22" s="7">
        <v>0</v>
      </c>
      <c r="E22" s="7">
        <v>1</v>
      </c>
    </row>
    <row r="23" spans="1:5" x14ac:dyDescent="0.35">
      <c r="A23" s="7">
        <v>22</v>
      </c>
      <c r="B23" s="7">
        <v>2.5499999999999998</v>
      </c>
      <c r="C23" s="7">
        <v>62</v>
      </c>
      <c r="D23" s="7">
        <v>1</v>
      </c>
      <c r="E23" s="7">
        <v>0</v>
      </c>
    </row>
    <row r="24" spans="1:5" x14ac:dyDescent="0.35">
      <c r="A24" s="7">
        <v>23</v>
      </c>
      <c r="B24" s="7">
        <v>3.05</v>
      </c>
      <c r="C24" s="7">
        <v>80</v>
      </c>
      <c r="D24" s="7">
        <v>1</v>
      </c>
      <c r="E24" s="7">
        <v>1</v>
      </c>
    </row>
    <row r="25" spans="1:5" x14ac:dyDescent="0.35">
      <c r="A25" s="7">
        <v>24</v>
      </c>
      <c r="B25" s="7">
        <v>3.35</v>
      </c>
      <c r="C25" s="7">
        <v>87</v>
      </c>
      <c r="D25" s="7">
        <v>0</v>
      </c>
      <c r="E25" s="7">
        <v>1</v>
      </c>
    </row>
    <row r="26" spans="1:5" x14ac:dyDescent="0.35">
      <c r="A26" s="7">
        <v>25</v>
      </c>
      <c r="B26" s="7">
        <v>2.95</v>
      </c>
      <c r="C26" s="7">
        <v>74</v>
      </c>
      <c r="D26" s="7">
        <v>1</v>
      </c>
      <c r="E26" s="7">
        <v>0</v>
      </c>
    </row>
    <row r="27" spans="1:5" x14ac:dyDescent="0.35">
      <c r="A27" s="7">
        <v>26</v>
      </c>
      <c r="B27" s="7">
        <v>3.55</v>
      </c>
      <c r="C27" s="7">
        <v>91</v>
      </c>
      <c r="D27" s="7">
        <v>0</v>
      </c>
      <c r="E27" s="7">
        <v>1</v>
      </c>
    </row>
    <row r="28" spans="1:5" x14ac:dyDescent="0.35">
      <c r="A28" s="7">
        <v>27</v>
      </c>
      <c r="B28" s="7">
        <v>2.75</v>
      </c>
      <c r="C28" s="7">
        <v>68</v>
      </c>
      <c r="D28" s="7">
        <v>1</v>
      </c>
      <c r="E28" s="7">
        <v>0</v>
      </c>
    </row>
    <row r="29" spans="1:5" x14ac:dyDescent="0.35">
      <c r="A29" s="7">
        <v>28</v>
      </c>
      <c r="B29" s="7">
        <v>3.28</v>
      </c>
      <c r="C29" s="7">
        <v>84</v>
      </c>
      <c r="D29" s="7">
        <v>0</v>
      </c>
      <c r="E29" s="7">
        <v>1</v>
      </c>
    </row>
    <row r="30" spans="1:5" x14ac:dyDescent="0.35">
      <c r="A30" s="7">
        <v>29</v>
      </c>
      <c r="B30" s="7">
        <v>3.1377083333333329</v>
      </c>
      <c r="C30" s="7">
        <v>80</v>
      </c>
      <c r="D30" s="7">
        <v>1</v>
      </c>
      <c r="E30" s="7">
        <v>1</v>
      </c>
    </row>
    <row r="31" spans="1:5" x14ac:dyDescent="0.35">
      <c r="A31" s="7">
        <v>30</v>
      </c>
      <c r="B31" s="7">
        <v>3.65</v>
      </c>
      <c r="C31" s="7">
        <v>93</v>
      </c>
      <c r="D31" s="7">
        <v>0</v>
      </c>
      <c r="E31" s="7">
        <v>1</v>
      </c>
    </row>
    <row r="32" spans="1:5" x14ac:dyDescent="0.35">
      <c r="A32" s="7">
        <v>31</v>
      </c>
      <c r="B32" s="7">
        <v>2.4500000000000002</v>
      </c>
      <c r="C32" s="7">
        <v>58</v>
      </c>
      <c r="D32" s="7">
        <v>1</v>
      </c>
      <c r="E32" s="7">
        <v>0</v>
      </c>
    </row>
    <row r="33" spans="1:5" x14ac:dyDescent="0.35">
      <c r="A33" s="7">
        <v>32</v>
      </c>
      <c r="B33" s="7">
        <v>3.12</v>
      </c>
      <c r="C33" s="7">
        <v>79</v>
      </c>
      <c r="D33" s="7">
        <v>1</v>
      </c>
      <c r="E33" s="7">
        <v>1</v>
      </c>
    </row>
    <row r="34" spans="1:5" x14ac:dyDescent="0.35">
      <c r="A34" s="7">
        <v>33</v>
      </c>
      <c r="B34" s="7">
        <v>3.42</v>
      </c>
      <c r="C34" s="7">
        <v>89</v>
      </c>
      <c r="D34" s="7">
        <v>0</v>
      </c>
      <c r="E34" s="7">
        <v>1</v>
      </c>
    </row>
    <row r="35" spans="1:5" x14ac:dyDescent="0.35">
      <c r="A35" s="7">
        <v>34</v>
      </c>
      <c r="B35" s="7">
        <v>2.88</v>
      </c>
      <c r="C35" s="7">
        <v>73</v>
      </c>
      <c r="D35" s="7">
        <v>1</v>
      </c>
      <c r="E35" s="7">
        <v>0</v>
      </c>
    </row>
    <row r="36" spans="1:5" x14ac:dyDescent="0.35">
      <c r="A36" s="7">
        <v>35</v>
      </c>
      <c r="B36" s="7">
        <v>3.75</v>
      </c>
      <c r="C36" s="7">
        <v>96</v>
      </c>
      <c r="D36" s="7">
        <v>0</v>
      </c>
      <c r="E36" s="7">
        <v>1</v>
      </c>
    </row>
    <row r="37" spans="1:5" x14ac:dyDescent="0.35">
      <c r="A37" s="7">
        <v>36</v>
      </c>
      <c r="B37" s="7">
        <v>2.6</v>
      </c>
      <c r="C37" s="7">
        <v>63</v>
      </c>
      <c r="D37" s="7">
        <v>1</v>
      </c>
      <c r="E37" s="7">
        <v>0</v>
      </c>
    </row>
    <row r="38" spans="1:5" x14ac:dyDescent="0.35">
      <c r="A38" s="7">
        <v>37</v>
      </c>
      <c r="B38" s="7">
        <v>3.08</v>
      </c>
      <c r="C38" s="7">
        <v>81</v>
      </c>
      <c r="D38" s="7">
        <v>1</v>
      </c>
      <c r="E38" s="7">
        <v>1</v>
      </c>
    </row>
    <row r="39" spans="1:5" x14ac:dyDescent="0.35">
      <c r="A39" s="7">
        <v>38</v>
      </c>
      <c r="B39" s="7">
        <v>3.38</v>
      </c>
      <c r="C39" s="7">
        <v>86</v>
      </c>
      <c r="D39" s="7">
        <v>0</v>
      </c>
      <c r="E39" s="7">
        <v>1</v>
      </c>
    </row>
    <row r="40" spans="1:5" x14ac:dyDescent="0.35">
      <c r="A40" s="7">
        <v>39</v>
      </c>
      <c r="B40" s="7">
        <v>2.92</v>
      </c>
      <c r="C40" s="7">
        <v>71</v>
      </c>
      <c r="D40" s="7">
        <v>1</v>
      </c>
      <c r="E40" s="7">
        <v>0</v>
      </c>
    </row>
    <row r="41" spans="1:5" x14ac:dyDescent="0.35">
      <c r="A41" s="7">
        <v>40</v>
      </c>
      <c r="B41" s="7">
        <v>3.85</v>
      </c>
      <c r="C41" s="7">
        <v>98</v>
      </c>
      <c r="D41" s="7">
        <v>0</v>
      </c>
      <c r="E41" s="7">
        <v>1</v>
      </c>
    </row>
    <row r="42" spans="1:5" x14ac:dyDescent="0.35">
      <c r="A42" s="7">
        <v>41</v>
      </c>
      <c r="B42" s="7">
        <v>3.22</v>
      </c>
      <c r="C42" s="7">
        <v>83</v>
      </c>
      <c r="D42" s="7">
        <v>0</v>
      </c>
      <c r="E42" s="7">
        <v>1</v>
      </c>
    </row>
    <row r="43" spans="1:5" x14ac:dyDescent="0.35">
      <c r="A43" s="7">
        <v>42</v>
      </c>
      <c r="B43" s="7">
        <v>2.72</v>
      </c>
      <c r="C43" s="7">
        <v>67</v>
      </c>
      <c r="D43" s="7">
        <v>1</v>
      </c>
      <c r="E43" s="7">
        <v>0</v>
      </c>
    </row>
    <row r="44" spans="1:5" x14ac:dyDescent="0.35">
      <c r="A44" s="7">
        <v>43</v>
      </c>
      <c r="B44" s="7">
        <v>3.18</v>
      </c>
      <c r="C44" s="7">
        <v>79.6875</v>
      </c>
      <c r="D44" s="7">
        <v>1</v>
      </c>
      <c r="E44" s="7">
        <v>1</v>
      </c>
    </row>
    <row r="45" spans="1:5" x14ac:dyDescent="0.35">
      <c r="A45" s="7">
        <v>44</v>
      </c>
      <c r="B45" s="7">
        <v>3.48</v>
      </c>
      <c r="C45" s="7">
        <v>92</v>
      </c>
      <c r="D45" s="7">
        <v>0</v>
      </c>
      <c r="E45" s="7">
        <v>1</v>
      </c>
    </row>
    <row r="46" spans="1:5" x14ac:dyDescent="0.35">
      <c r="A46" s="7">
        <v>45</v>
      </c>
      <c r="B46" s="7">
        <v>2.82</v>
      </c>
      <c r="C46" s="7">
        <v>76</v>
      </c>
      <c r="D46" s="7">
        <v>1</v>
      </c>
      <c r="E46" s="7">
        <v>0</v>
      </c>
    </row>
    <row r="47" spans="1:5" x14ac:dyDescent="0.35">
      <c r="A47" s="7">
        <v>46</v>
      </c>
      <c r="B47" s="7">
        <v>3.62</v>
      </c>
      <c r="C47" s="7">
        <v>95</v>
      </c>
      <c r="D47" s="7">
        <v>0</v>
      </c>
      <c r="E47" s="7">
        <v>1</v>
      </c>
    </row>
    <row r="48" spans="1:5" x14ac:dyDescent="0.35">
      <c r="A48" s="7">
        <v>47</v>
      </c>
      <c r="B48" s="7">
        <v>2.52</v>
      </c>
      <c r="C48" s="7">
        <v>61</v>
      </c>
      <c r="D48" s="7">
        <v>1</v>
      </c>
      <c r="E48" s="7">
        <v>0</v>
      </c>
    </row>
    <row r="49" spans="1:5" x14ac:dyDescent="0.35">
      <c r="A49" s="7">
        <v>48</v>
      </c>
      <c r="B49" s="7">
        <v>3.02</v>
      </c>
      <c r="C49" s="7">
        <v>79</v>
      </c>
      <c r="D49" s="7">
        <v>1</v>
      </c>
      <c r="E49" s="7">
        <v>1</v>
      </c>
    </row>
    <row r="50" spans="1:5" x14ac:dyDescent="0.35">
      <c r="A50" s="7">
        <v>49</v>
      </c>
      <c r="B50" s="7">
        <v>3.32</v>
      </c>
      <c r="C50" s="7">
        <v>84</v>
      </c>
      <c r="D50" s="7">
        <v>0</v>
      </c>
      <c r="E50" s="7">
        <v>1</v>
      </c>
    </row>
    <row r="51" spans="1:5" x14ac:dyDescent="0.35">
      <c r="A51" s="7">
        <v>50</v>
      </c>
      <c r="B51" s="7">
        <v>2.98</v>
      </c>
      <c r="C51" s="7">
        <v>74</v>
      </c>
      <c r="D51" s="7">
        <v>1</v>
      </c>
      <c r="E51" s="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tabSelected="1" topLeftCell="D1" zoomScale="136" zoomScaleNormal="136" workbookViewId="0">
      <selection activeCell="E7" sqref="E7"/>
    </sheetView>
  </sheetViews>
  <sheetFormatPr defaultRowHeight="14.5" x14ac:dyDescent="0.35"/>
  <cols>
    <col min="1" max="1" width="8.7265625" style="4"/>
    <col min="2" max="2" width="17.54296875" style="4" customWidth="1"/>
    <col min="3" max="3" width="18.81640625" style="4" customWidth="1"/>
    <col min="4" max="4" width="16.1796875" style="4" customWidth="1"/>
    <col min="5" max="5" width="10.26953125" style="4" customWidth="1"/>
    <col min="6" max="6" width="11.6328125" style="4" customWidth="1"/>
    <col min="7" max="11" width="8.7265625" style="4"/>
    <col min="12" max="12" width="12.26953125" style="4" customWidth="1"/>
    <col min="13" max="13" width="14.6328125" style="4" customWidth="1"/>
    <col min="14" max="14" width="10.7265625" style="4" customWidth="1"/>
    <col min="15" max="15" width="15.6328125" style="4" customWidth="1"/>
    <col min="16" max="16384" width="8.7265625" style="4"/>
  </cols>
  <sheetData>
    <row r="1" spans="1:15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8" t="s">
        <v>17</v>
      </c>
      <c r="G1" s="8" t="s">
        <v>12</v>
      </c>
    </row>
    <row r="2" spans="1:15" x14ac:dyDescent="0.35">
      <c r="A2" s="21">
        <v>1</v>
      </c>
      <c r="B2" s="21">
        <v>3.5</v>
      </c>
      <c r="C2" s="21">
        <v>90</v>
      </c>
      <c r="D2" s="21">
        <v>0</v>
      </c>
      <c r="E2" s="21">
        <v>1</v>
      </c>
      <c r="F2" s="21">
        <f>IF(B2&gt;=3, 1, 0)</f>
        <v>1</v>
      </c>
      <c r="G2" s="21" t="str">
        <f>IF(F2=E2, "BENAR", "SALAH")</f>
        <v>BENAR</v>
      </c>
    </row>
    <row r="3" spans="1:15" x14ac:dyDescent="0.35">
      <c r="A3" s="21">
        <v>2</v>
      </c>
      <c r="B3" s="21">
        <v>2.8</v>
      </c>
      <c r="C3" s="21">
        <v>75</v>
      </c>
      <c r="D3" s="21">
        <v>1</v>
      </c>
      <c r="E3" s="21">
        <v>0</v>
      </c>
      <c r="F3" s="21">
        <f t="shared" ref="F3:F51" si="0">IF(B3&gt;=3, 1, 0)</f>
        <v>0</v>
      </c>
      <c r="G3" s="21" t="str">
        <f t="shared" ref="G3:G51" si="1">IF(F3=E3, "BENAR", "SALAH")</f>
        <v>BENAR</v>
      </c>
    </row>
    <row r="4" spans="1:15" x14ac:dyDescent="0.35">
      <c r="A4" s="21">
        <v>3</v>
      </c>
      <c r="B4" s="21">
        <v>3.2</v>
      </c>
      <c r="C4" s="21">
        <v>85</v>
      </c>
      <c r="D4" s="21">
        <v>0</v>
      </c>
      <c r="E4" s="21">
        <v>1</v>
      </c>
      <c r="F4" s="21">
        <f t="shared" si="0"/>
        <v>1</v>
      </c>
      <c r="G4" s="21" t="str">
        <f t="shared" si="1"/>
        <v>BENAR</v>
      </c>
    </row>
    <row r="5" spans="1:15" x14ac:dyDescent="0.35">
      <c r="A5" s="21">
        <v>4</v>
      </c>
      <c r="B5" s="21">
        <v>2.5</v>
      </c>
      <c r="C5" s="21">
        <v>60</v>
      </c>
      <c r="D5" s="21">
        <v>1</v>
      </c>
      <c r="E5" s="21">
        <v>0</v>
      </c>
      <c r="F5" s="21">
        <f t="shared" si="0"/>
        <v>0</v>
      </c>
      <c r="G5" s="21" t="str">
        <f t="shared" si="1"/>
        <v>BENAR</v>
      </c>
    </row>
    <row r="6" spans="1:15" x14ac:dyDescent="0.35">
      <c r="A6" s="21">
        <v>5</v>
      </c>
      <c r="B6" s="21">
        <v>3.8</v>
      </c>
      <c r="C6" s="21">
        <v>95</v>
      </c>
      <c r="D6" s="21">
        <v>0</v>
      </c>
      <c r="E6" s="21">
        <v>1</v>
      </c>
      <c r="F6" s="21">
        <f t="shared" si="0"/>
        <v>1</v>
      </c>
      <c r="G6" s="21" t="str">
        <f t="shared" si="1"/>
        <v>BENAR</v>
      </c>
    </row>
    <row r="7" spans="1:15" ht="15" thickBot="1" x14ac:dyDescent="0.4">
      <c r="A7" s="21">
        <v>6</v>
      </c>
      <c r="B7" s="21">
        <v>2.9</v>
      </c>
      <c r="C7" s="21">
        <v>70</v>
      </c>
      <c r="D7" s="21">
        <v>1</v>
      </c>
      <c r="E7" s="21">
        <v>0</v>
      </c>
      <c r="F7" s="21">
        <f t="shared" si="0"/>
        <v>0</v>
      </c>
      <c r="G7" s="21" t="str">
        <f t="shared" si="1"/>
        <v>BENAR</v>
      </c>
    </row>
    <row r="8" spans="1:15" ht="15.5" customHeight="1" thickBot="1" x14ac:dyDescent="0.4">
      <c r="A8" s="21">
        <v>7</v>
      </c>
      <c r="B8" s="21">
        <v>3.1</v>
      </c>
      <c r="C8" s="21">
        <v>80</v>
      </c>
      <c r="D8" s="21">
        <v>1</v>
      </c>
      <c r="E8" s="21">
        <v>1</v>
      </c>
      <c r="F8" s="21">
        <f t="shared" si="0"/>
        <v>1</v>
      </c>
      <c r="G8" s="21" t="str">
        <f t="shared" si="1"/>
        <v>BENAR</v>
      </c>
      <c r="L8" s="2" t="s">
        <v>5</v>
      </c>
      <c r="M8" s="2" t="s">
        <v>6</v>
      </c>
      <c r="N8" s="2" t="s">
        <v>7</v>
      </c>
      <c r="O8" s="2" t="s">
        <v>8</v>
      </c>
    </row>
    <row r="9" spans="1:15" ht="15" thickBot="1" x14ac:dyDescent="0.4">
      <c r="A9" s="21">
        <v>8</v>
      </c>
      <c r="B9" s="21">
        <v>3.4</v>
      </c>
      <c r="C9" s="21">
        <v>88</v>
      </c>
      <c r="D9" s="21">
        <v>0</v>
      </c>
      <c r="E9" s="21">
        <v>1</v>
      </c>
      <c r="F9" s="21">
        <f t="shared" si="0"/>
        <v>1</v>
      </c>
      <c r="G9" s="21" t="str">
        <f t="shared" si="1"/>
        <v>BENAR</v>
      </c>
      <c r="L9" s="2" t="s">
        <v>11</v>
      </c>
      <c r="M9" s="2">
        <v>32</v>
      </c>
      <c r="N9" s="2">
        <v>30</v>
      </c>
      <c r="O9" s="2">
        <v>2</v>
      </c>
    </row>
    <row r="10" spans="1:15" ht="15" thickBot="1" x14ac:dyDescent="0.4">
      <c r="A10" s="21">
        <v>9</v>
      </c>
      <c r="B10" s="21">
        <v>3.1377083333333329</v>
      </c>
      <c r="C10" s="21">
        <v>75</v>
      </c>
      <c r="D10" s="21">
        <v>1</v>
      </c>
      <c r="E10" s="21">
        <v>0</v>
      </c>
      <c r="F10" s="21">
        <f t="shared" si="0"/>
        <v>1</v>
      </c>
      <c r="G10" s="21" t="str">
        <f t="shared" si="1"/>
        <v>SALAH</v>
      </c>
      <c r="L10" s="2" t="s">
        <v>9</v>
      </c>
      <c r="M10" s="2">
        <v>18</v>
      </c>
      <c r="N10" s="2">
        <v>4</v>
      </c>
      <c r="O10" s="2">
        <v>14</v>
      </c>
    </row>
    <row r="11" spans="1:15" ht="15" thickBot="1" x14ac:dyDescent="0.4">
      <c r="A11" s="21">
        <v>10</v>
      </c>
      <c r="B11" s="21">
        <v>3.6</v>
      </c>
      <c r="C11" s="21">
        <v>92</v>
      </c>
      <c r="D11" s="21">
        <v>0</v>
      </c>
      <c r="E11" s="21">
        <v>1</v>
      </c>
      <c r="F11" s="21">
        <f t="shared" si="0"/>
        <v>1</v>
      </c>
      <c r="G11" s="21" t="str">
        <f t="shared" si="1"/>
        <v>BENAR</v>
      </c>
      <c r="L11" s="2" t="s">
        <v>10</v>
      </c>
      <c r="M11" s="2">
        <v>50</v>
      </c>
      <c r="N11" s="2">
        <v>34</v>
      </c>
      <c r="O11" s="2">
        <v>16</v>
      </c>
    </row>
    <row r="12" spans="1:15" x14ac:dyDescent="0.35">
      <c r="A12" s="21">
        <v>11</v>
      </c>
      <c r="B12" s="21">
        <v>2.7</v>
      </c>
      <c r="C12" s="21">
        <v>65</v>
      </c>
      <c r="D12" s="21">
        <v>1</v>
      </c>
      <c r="E12" s="21">
        <v>0</v>
      </c>
      <c r="F12" s="21">
        <f t="shared" si="0"/>
        <v>0</v>
      </c>
      <c r="G12" s="21" t="str">
        <f t="shared" si="1"/>
        <v>BENAR</v>
      </c>
    </row>
    <row r="13" spans="1:15" x14ac:dyDescent="0.35">
      <c r="A13" s="21">
        <v>12</v>
      </c>
      <c r="B13" s="21">
        <v>3.3</v>
      </c>
      <c r="C13" s="21">
        <v>85</v>
      </c>
      <c r="D13" s="21">
        <v>0</v>
      </c>
      <c r="E13" s="21">
        <v>1</v>
      </c>
      <c r="F13" s="21">
        <f t="shared" si="0"/>
        <v>1</v>
      </c>
      <c r="G13" s="21" t="str">
        <f t="shared" si="1"/>
        <v>BENAR</v>
      </c>
    </row>
    <row r="14" spans="1:15" x14ac:dyDescent="0.35">
      <c r="A14" s="21">
        <v>13</v>
      </c>
      <c r="B14" s="21">
        <v>3</v>
      </c>
      <c r="C14" s="21">
        <v>79.6875</v>
      </c>
      <c r="D14" s="21">
        <v>1</v>
      </c>
      <c r="E14" s="21">
        <v>1</v>
      </c>
      <c r="F14" s="21">
        <f t="shared" si="0"/>
        <v>1</v>
      </c>
      <c r="G14" s="21" t="str">
        <f t="shared" si="1"/>
        <v>BENAR</v>
      </c>
    </row>
    <row r="15" spans="1:15" x14ac:dyDescent="0.35">
      <c r="A15" s="21">
        <v>14</v>
      </c>
      <c r="B15" s="21">
        <v>2.4</v>
      </c>
      <c r="C15" s="21">
        <v>55</v>
      </c>
      <c r="D15" s="21">
        <v>1</v>
      </c>
      <c r="E15" s="21">
        <v>0</v>
      </c>
      <c r="F15" s="21">
        <f t="shared" si="0"/>
        <v>0</v>
      </c>
      <c r="G15" s="21" t="str">
        <f t="shared" si="1"/>
        <v>BENAR</v>
      </c>
    </row>
    <row r="16" spans="1:15" x14ac:dyDescent="0.35">
      <c r="A16" s="21">
        <v>15</v>
      </c>
      <c r="B16" s="21">
        <v>3.9</v>
      </c>
      <c r="C16" s="21">
        <v>100</v>
      </c>
      <c r="D16" s="21">
        <v>0</v>
      </c>
      <c r="E16" s="21">
        <v>1</v>
      </c>
      <c r="F16" s="21">
        <f t="shared" si="0"/>
        <v>1</v>
      </c>
      <c r="G16" s="21" t="str">
        <f t="shared" si="1"/>
        <v>BENAR</v>
      </c>
    </row>
    <row r="17" spans="1:7" x14ac:dyDescent="0.35">
      <c r="A17" s="21">
        <v>16</v>
      </c>
      <c r="B17" s="21">
        <v>3.25</v>
      </c>
      <c r="C17" s="21">
        <v>82</v>
      </c>
      <c r="D17" s="21">
        <v>0</v>
      </c>
      <c r="E17" s="21">
        <v>1</v>
      </c>
      <c r="F17" s="21">
        <f t="shared" si="0"/>
        <v>1</v>
      </c>
      <c r="G17" s="21" t="str">
        <f t="shared" si="1"/>
        <v>BENAR</v>
      </c>
    </row>
    <row r="18" spans="1:7" x14ac:dyDescent="0.35">
      <c r="A18" s="21">
        <v>17</v>
      </c>
      <c r="B18" s="21">
        <v>2.65</v>
      </c>
      <c r="C18" s="21">
        <v>70</v>
      </c>
      <c r="D18" s="21">
        <v>1</v>
      </c>
      <c r="E18" s="21">
        <v>0</v>
      </c>
      <c r="F18" s="21">
        <f t="shared" si="0"/>
        <v>0</v>
      </c>
      <c r="G18" s="21" t="str">
        <f t="shared" si="1"/>
        <v>BENAR</v>
      </c>
    </row>
    <row r="19" spans="1:7" x14ac:dyDescent="0.35">
      <c r="A19" s="21">
        <v>18</v>
      </c>
      <c r="B19" s="21">
        <v>3.15</v>
      </c>
      <c r="C19" s="21">
        <v>78</v>
      </c>
      <c r="D19" s="21">
        <v>1</v>
      </c>
      <c r="E19" s="21">
        <v>1</v>
      </c>
      <c r="F19" s="21">
        <f t="shared" si="0"/>
        <v>1</v>
      </c>
      <c r="G19" s="21" t="str">
        <f t="shared" si="1"/>
        <v>BENAR</v>
      </c>
    </row>
    <row r="20" spans="1:7" x14ac:dyDescent="0.35">
      <c r="A20" s="21">
        <v>19</v>
      </c>
      <c r="B20" s="21">
        <v>3.45</v>
      </c>
      <c r="C20" s="21">
        <v>90</v>
      </c>
      <c r="D20" s="21">
        <v>0</v>
      </c>
      <c r="E20" s="21">
        <v>1</v>
      </c>
      <c r="F20" s="21">
        <f t="shared" si="0"/>
        <v>1</v>
      </c>
      <c r="G20" s="21" t="str">
        <f t="shared" si="1"/>
        <v>BENAR</v>
      </c>
    </row>
    <row r="21" spans="1:7" x14ac:dyDescent="0.35">
      <c r="A21" s="21">
        <v>20</v>
      </c>
      <c r="B21" s="21">
        <v>2.85</v>
      </c>
      <c r="C21" s="21">
        <v>72</v>
      </c>
      <c r="D21" s="21">
        <v>1</v>
      </c>
      <c r="E21" s="21">
        <v>0</v>
      </c>
      <c r="F21" s="21">
        <f t="shared" si="0"/>
        <v>0</v>
      </c>
      <c r="G21" s="21" t="str">
        <f t="shared" si="1"/>
        <v>BENAR</v>
      </c>
    </row>
    <row r="22" spans="1:7" x14ac:dyDescent="0.35">
      <c r="A22" s="21">
        <v>21</v>
      </c>
      <c r="B22" s="21">
        <v>3.7</v>
      </c>
      <c r="C22" s="21">
        <v>94</v>
      </c>
      <c r="D22" s="21">
        <v>0</v>
      </c>
      <c r="E22" s="21">
        <v>1</v>
      </c>
      <c r="F22" s="21">
        <f t="shared" si="0"/>
        <v>1</v>
      </c>
      <c r="G22" s="21" t="str">
        <f t="shared" si="1"/>
        <v>BENAR</v>
      </c>
    </row>
    <row r="23" spans="1:7" x14ac:dyDescent="0.35">
      <c r="A23" s="21">
        <v>22</v>
      </c>
      <c r="B23" s="21">
        <v>2.5499999999999998</v>
      </c>
      <c r="C23" s="21">
        <v>62</v>
      </c>
      <c r="D23" s="21">
        <v>1</v>
      </c>
      <c r="E23" s="21">
        <v>0</v>
      </c>
      <c r="F23" s="21">
        <f t="shared" si="0"/>
        <v>0</v>
      </c>
      <c r="G23" s="21" t="str">
        <f t="shared" si="1"/>
        <v>BENAR</v>
      </c>
    </row>
    <row r="24" spans="1:7" x14ac:dyDescent="0.35">
      <c r="A24" s="21">
        <v>23</v>
      </c>
      <c r="B24" s="21">
        <v>3.05</v>
      </c>
      <c r="C24" s="21">
        <v>80</v>
      </c>
      <c r="D24" s="21">
        <v>1</v>
      </c>
      <c r="E24" s="21">
        <v>1</v>
      </c>
      <c r="F24" s="21">
        <f t="shared" si="0"/>
        <v>1</v>
      </c>
      <c r="G24" s="21" t="str">
        <f t="shared" si="1"/>
        <v>BENAR</v>
      </c>
    </row>
    <row r="25" spans="1:7" x14ac:dyDescent="0.35">
      <c r="A25" s="21">
        <v>24</v>
      </c>
      <c r="B25" s="21">
        <v>3.35</v>
      </c>
      <c r="C25" s="21">
        <v>87</v>
      </c>
      <c r="D25" s="21">
        <v>0</v>
      </c>
      <c r="E25" s="21">
        <v>1</v>
      </c>
      <c r="F25" s="21">
        <f t="shared" si="0"/>
        <v>1</v>
      </c>
      <c r="G25" s="21" t="str">
        <f t="shared" si="1"/>
        <v>BENAR</v>
      </c>
    </row>
    <row r="26" spans="1:7" x14ac:dyDescent="0.35">
      <c r="A26" s="21">
        <v>25</v>
      </c>
      <c r="B26" s="21">
        <v>2.95</v>
      </c>
      <c r="C26" s="21">
        <v>74</v>
      </c>
      <c r="D26" s="21">
        <v>1</v>
      </c>
      <c r="E26" s="21">
        <v>0</v>
      </c>
      <c r="F26" s="21">
        <f t="shared" si="0"/>
        <v>0</v>
      </c>
      <c r="G26" s="21" t="str">
        <f t="shared" si="1"/>
        <v>BENAR</v>
      </c>
    </row>
    <row r="27" spans="1:7" x14ac:dyDescent="0.35">
      <c r="A27" s="21">
        <v>26</v>
      </c>
      <c r="B27" s="21">
        <v>3.55</v>
      </c>
      <c r="C27" s="21">
        <v>91</v>
      </c>
      <c r="D27" s="21">
        <v>0</v>
      </c>
      <c r="E27" s="21">
        <v>1</v>
      </c>
      <c r="F27" s="21">
        <f t="shared" si="0"/>
        <v>1</v>
      </c>
      <c r="G27" s="21" t="str">
        <f t="shared" si="1"/>
        <v>BENAR</v>
      </c>
    </row>
    <row r="28" spans="1:7" x14ac:dyDescent="0.35">
      <c r="A28" s="21">
        <v>27</v>
      </c>
      <c r="B28" s="21">
        <v>2.75</v>
      </c>
      <c r="C28" s="21">
        <v>68</v>
      </c>
      <c r="D28" s="21">
        <v>1</v>
      </c>
      <c r="E28" s="21">
        <v>0</v>
      </c>
      <c r="F28" s="21">
        <f t="shared" si="0"/>
        <v>0</v>
      </c>
      <c r="G28" s="21" t="str">
        <f t="shared" si="1"/>
        <v>BENAR</v>
      </c>
    </row>
    <row r="29" spans="1:7" x14ac:dyDescent="0.35">
      <c r="A29" s="21">
        <v>28</v>
      </c>
      <c r="B29" s="21">
        <v>3.28</v>
      </c>
      <c r="C29" s="21">
        <v>84</v>
      </c>
      <c r="D29" s="21">
        <v>0</v>
      </c>
      <c r="E29" s="21">
        <v>1</v>
      </c>
      <c r="F29" s="21">
        <f t="shared" si="0"/>
        <v>1</v>
      </c>
      <c r="G29" s="21" t="str">
        <f t="shared" si="1"/>
        <v>BENAR</v>
      </c>
    </row>
    <row r="30" spans="1:7" x14ac:dyDescent="0.35">
      <c r="A30" s="21">
        <v>29</v>
      </c>
      <c r="B30" s="21">
        <v>3.1377083333333329</v>
      </c>
      <c r="C30" s="21">
        <v>80</v>
      </c>
      <c r="D30" s="21">
        <v>1</v>
      </c>
      <c r="E30" s="21">
        <v>1</v>
      </c>
      <c r="F30" s="21">
        <f t="shared" si="0"/>
        <v>1</v>
      </c>
      <c r="G30" s="21" t="str">
        <f t="shared" si="1"/>
        <v>BENAR</v>
      </c>
    </row>
    <row r="31" spans="1:7" x14ac:dyDescent="0.35">
      <c r="A31" s="21">
        <v>30</v>
      </c>
      <c r="B31" s="21">
        <v>3.65</v>
      </c>
      <c r="C31" s="21">
        <v>93</v>
      </c>
      <c r="D31" s="21">
        <v>0</v>
      </c>
      <c r="E31" s="21">
        <v>1</v>
      </c>
      <c r="F31" s="21">
        <f t="shared" si="0"/>
        <v>1</v>
      </c>
      <c r="G31" s="21" t="str">
        <f t="shared" si="1"/>
        <v>BENAR</v>
      </c>
    </row>
    <row r="32" spans="1:7" x14ac:dyDescent="0.35">
      <c r="A32" s="21">
        <v>31</v>
      </c>
      <c r="B32" s="21">
        <v>2.4500000000000002</v>
      </c>
      <c r="C32" s="21">
        <v>58</v>
      </c>
      <c r="D32" s="21">
        <v>1</v>
      </c>
      <c r="E32" s="21">
        <v>0</v>
      </c>
      <c r="F32" s="21">
        <f t="shared" si="0"/>
        <v>0</v>
      </c>
      <c r="G32" s="21" t="str">
        <f t="shared" si="1"/>
        <v>BENAR</v>
      </c>
    </row>
    <row r="33" spans="1:7" x14ac:dyDescent="0.35">
      <c r="A33" s="21">
        <v>32</v>
      </c>
      <c r="B33" s="21">
        <v>3.12</v>
      </c>
      <c r="C33" s="21">
        <v>79</v>
      </c>
      <c r="D33" s="21">
        <v>1</v>
      </c>
      <c r="E33" s="21">
        <v>1</v>
      </c>
      <c r="F33" s="21">
        <f t="shared" si="0"/>
        <v>1</v>
      </c>
      <c r="G33" s="21" t="str">
        <f t="shared" si="1"/>
        <v>BENAR</v>
      </c>
    </row>
    <row r="34" spans="1:7" x14ac:dyDescent="0.35">
      <c r="A34" s="21">
        <v>33</v>
      </c>
      <c r="B34" s="21">
        <v>3.42</v>
      </c>
      <c r="C34" s="21">
        <v>89</v>
      </c>
      <c r="D34" s="21">
        <v>0</v>
      </c>
      <c r="E34" s="21">
        <v>1</v>
      </c>
      <c r="F34" s="21">
        <f t="shared" si="0"/>
        <v>1</v>
      </c>
      <c r="G34" s="21" t="str">
        <f t="shared" si="1"/>
        <v>BENAR</v>
      </c>
    </row>
    <row r="35" spans="1:7" x14ac:dyDescent="0.35">
      <c r="A35" s="21">
        <v>34</v>
      </c>
      <c r="B35" s="21">
        <v>2.88</v>
      </c>
      <c r="C35" s="21">
        <v>73</v>
      </c>
      <c r="D35" s="21">
        <v>1</v>
      </c>
      <c r="E35" s="21">
        <v>0</v>
      </c>
      <c r="F35" s="21">
        <f t="shared" si="0"/>
        <v>0</v>
      </c>
      <c r="G35" s="21" t="str">
        <f t="shared" si="1"/>
        <v>BENAR</v>
      </c>
    </row>
    <row r="36" spans="1:7" x14ac:dyDescent="0.35">
      <c r="A36" s="21">
        <v>35</v>
      </c>
      <c r="B36" s="21">
        <v>3.75</v>
      </c>
      <c r="C36" s="21">
        <v>96</v>
      </c>
      <c r="D36" s="21">
        <v>0</v>
      </c>
      <c r="E36" s="21">
        <v>1</v>
      </c>
      <c r="F36" s="21">
        <f t="shared" si="0"/>
        <v>1</v>
      </c>
      <c r="G36" s="21" t="str">
        <f t="shared" si="1"/>
        <v>BENAR</v>
      </c>
    </row>
    <row r="37" spans="1:7" x14ac:dyDescent="0.35">
      <c r="A37" s="21">
        <v>36</v>
      </c>
      <c r="B37" s="21">
        <v>2.6</v>
      </c>
      <c r="C37" s="21">
        <v>63</v>
      </c>
      <c r="D37" s="21">
        <v>1</v>
      </c>
      <c r="E37" s="21">
        <v>0</v>
      </c>
      <c r="F37" s="21">
        <f t="shared" si="0"/>
        <v>0</v>
      </c>
      <c r="G37" s="21" t="str">
        <f t="shared" si="1"/>
        <v>BENAR</v>
      </c>
    </row>
    <row r="38" spans="1:7" x14ac:dyDescent="0.35">
      <c r="A38" s="21">
        <v>37</v>
      </c>
      <c r="B38" s="21">
        <v>3.08</v>
      </c>
      <c r="C38" s="21">
        <v>81</v>
      </c>
      <c r="D38" s="21">
        <v>1</v>
      </c>
      <c r="E38" s="21">
        <v>1</v>
      </c>
      <c r="F38" s="21">
        <f t="shared" si="0"/>
        <v>1</v>
      </c>
      <c r="G38" s="21" t="str">
        <f t="shared" si="1"/>
        <v>BENAR</v>
      </c>
    </row>
    <row r="39" spans="1:7" x14ac:dyDescent="0.35">
      <c r="A39" s="21">
        <v>38</v>
      </c>
      <c r="B39" s="21">
        <v>3.38</v>
      </c>
      <c r="C39" s="21">
        <v>86</v>
      </c>
      <c r="D39" s="21">
        <v>0</v>
      </c>
      <c r="E39" s="21">
        <v>1</v>
      </c>
      <c r="F39" s="21">
        <f t="shared" si="0"/>
        <v>1</v>
      </c>
      <c r="G39" s="21" t="str">
        <f t="shared" si="1"/>
        <v>BENAR</v>
      </c>
    </row>
    <row r="40" spans="1:7" x14ac:dyDescent="0.35">
      <c r="A40" s="21">
        <v>39</v>
      </c>
      <c r="B40" s="21">
        <v>2.92</v>
      </c>
      <c r="C40" s="21">
        <v>71</v>
      </c>
      <c r="D40" s="21">
        <v>1</v>
      </c>
      <c r="E40" s="21">
        <v>0</v>
      </c>
      <c r="F40" s="21">
        <f t="shared" si="0"/>
        <v>0</v>
      </c>
      <c r="G40" s="21" t="str">
        <f t="shared" si="1"/>
        <v>BENAR</v>
      </c>
    </row>
    <row r="41" spans="1:7" x14ac:dyDescent="0.35">
      <c r="A41" s="21">
        <v>40</v>
      </c>
      <c r="B41" s="21">
        <v>3.85</v>
      </c>
      <c r="C41" s="21">
        <v>98</v>
      </c>
      <c r="D41" s="21">
        <v>0</v>
      </c>
      <c r="E41" s="21">
        <v>1</v>
      </c>
      <c r="F41" s="21">
        <f t="shared" si="0"/>
        <v>1</v>
      </c>
      <c r="G41" s="21" t="str">
        <f t="shared" si="1"/>
        <v>BENAR</v>
      </c>
    </row>
    <row r="42" spans="1:7" x14ac:dyDescent="0.35">
      <c r="A42" s="21">
        <v>41</v>
      </c>
      <c r="B42" s="21">
        <v>3.22</v>
      </c>
      <c r="C42" s="21">
        <v>83</v>
      </c>
      <c r="D42" s="21">
        <v>0</v>
      </c>
      <c r="E42" s="21">
        <v>1</v>
      </c>
      <c r="F42" s="21">
        <f t="shared" si="0"/>
        <v>1</v>
      </c>
      <c r="G42" s="21" t="str">
        <f t="shared" si="1"/>
        <v>BENAR</v>
      </c>
    </row>
    <row r="43" spans="1:7" x14ac:dyDescent="0.35">
      <c r="A43" s="21">
        <v>42</v>
      </c>
      <c r="B43" s="21">
        <v>2.72</v>
      </c>
      <c r="C43" s="21">
        <v>67</v>
      </c>
      <c r="D43" s="21">
        <v>1</v>
      </c>
      <c r="E43" s="21">
        <v>0</v>
      </c>
      <c r="F43" s="21">
        <f t="shared" si="0"/>
        <v>0</v>
      </c>
      <c r="G43" s="21" t="str">
        <f t="shared" si="1"/>
        <v>BENAR</v>
      </c>
    </row>
    <row r="44" spans="1:7" x14ac:dyDescent="0.35">
      <c r="A44" s="21">
        <v>43</v>
      </c>
      <c r="B44" s="21">
        <v>3.18</v>
      </c>
      <c r="C44" s="21">
        <v>79.6875</v>
      </c>
      <c r="D44" s="21">
        <v>1</v>
      </c>
      <c r="E44" s="21">
        <v>1</v>
      </c>
      <c r="F44" s="21">
        <f t="shared" si="0"/>
        <v>1</v>
      </c>
      <c r="G44" s="21" t="str">
        <f t="shared" si="1"/>
        <v>BENAR</v>
      </c>
    </row>
    <row r="45" spans="1:7" x14ac:dyDescent="0.35">
      <c r="A45" s="21">
        <v>44</v>
      </c>
      <c r="B45" s="21">
        <v>3.48</v>
      </c>
      <c r="C45" s="21">
        <v>92</v>
      </c>
      <c r="D45" s="21">
        <v>0</v>
      </c>
      <c r="E45" s="21">
        <v>1</v>
      </c>
      <c r="F45" s="21">
        <f t="shared" si="0"/>
        <v>1</v>
      </c>
      <c r="G45" s="21" t="str">
        <f t="shared" si="1"/>
        <v>BENAR</v>
      </c>
    </row>
    <row r="46" spans="1:7" x14ac:dyDescent="0.35">
      <c r="A46" s="21">
        <v>45</v>
      </c>
      <c r="B46" s="21">
        <v>2.82</v>
      </c>
      <c r="C46" s="21">
        <v>76</v>
      </c>
      <c r="D46" s="21">
        <v>1</v>
      </c>
      <c r="E46" s="21">
        <v>0</v>
      </c>
      <c r="F46" s="21">
        <f t="shared" si="0"/>
        <v>0</v>
      </c>
      <c r="G46" s="21" t="str">
        <f t="shared" si="1"/>
        <v>BENAR</v>
      </c>
    </row>
    <row r="47" spans="1:7" x14ac:dyDescent="0.35">
      <c r="A47" s="21">
        <v>46</v>
      </c>
      <c r="B47" s="21">
        <v>3.62</v>
      </c>
      <c r="C47" s="21">
        <v>95</v>
      </c>
      <c r="D47" s="21">
        <v>0</v>
      </c>
      <c r="E47" s="21">
        <v>1</v>
      </c>
      <c r="F47" s="21">
        <f t="shared" si="0"/>
        <v>1</v>
      </c>
      <c r="G47" s="21" t="str">
        <f t="shared" si="1"/>
        <v>BENAR</v>
      </c>
    </row>
    <row r="48" spans="1:7" x14ac:dyDescent="0.35">
      <c r="A48" s="21">
        <v>47</v>
      </c>
      <c r="B48" s="21">
        <v>2.52</v>
      </c>
      <c r="C48" s="21">
        <v>61</v>
      </c>
      <c r="D48" s="21">
        <v>1</v>
      </c>
      <c r="E48" s="21">
        <v>0</v>
      </c>
      <c r="F48" s="21">
        <f t="shared" si="0"/>
        <v>0</v>
      </c>
      <c r="G48" s="21" t="str">
        <f t="shared" si="1"/>
        <v>BENAR</v>
      </c>
    </row>
    <row r="49" spans="1:7" x14ac:dyDescent="0.35">
      <c r="A49" s="21">
        <v>48</v>
      </c>
      <c r="B49" s="21">
        <v>3.02</v>
      </c>
      <c r="C49" s="21">
        <v>79</v>
      </c>
      <c r="D49" s="21">
        <v>1</v>
      </c>
      <c r="E49" s="21">
        <v>1</v>
      </c>
      <c r="F49" s="21">
        <f t="shared" si="0"/>
        <v>1</v>
      </c>
      <c r="G49" s="21" t="str">
        <f t="shared" si="1"/>
        <v>BENAR</v>
      </c>
    </row>
    <row r="50" spans="1:7" x14ac:dyDescent="0.35">
      <c r="A50" s="21">
        <v>49</v>
      </c>
      <c r="B50" s="21">
        <v>3.32</v>
      </c>
      <c r="C50" s="21">
        <v>84</v>
      </c>
      <c r="D50" s="21">
        <v>0</v>
      </c>
      <c r="E50" s="21">
        <v>1</v>
      </c>
      <c r="F50" s="21">
        <f t="shared" si="0"/>
        <v>1</v>
      </c>
      <c r="G50" s="21" t="str">
        <f t="shared" si="1"/>
        <v>BENAR</v>
      </c>
    </row>
    <row r="51" spans="1:7" x14ac:dyDescent="0.35">
      <c r="A51" s="21">
        <v>50</v>
      </c>
      <c r="B51" s="21">
        <v>2.98</v>
      </c>
      <c r="C51" s="21">
        <v>74</v>
      </c>
      <c r="D51" s="21">
        <v>1</v>
      </c>
      <c r="E51" s="21">
        <v>0</v>
      </c>
      <c r="F51" s="21">
        <f t="shared" si="0"/>
        <v>0</v>
      </c>
      <c r="G51" s="21" t="str">
        <f t="shared" si="1"/>
        <v>BENAR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>
      <selection activeCell="C15" sqref="C15"/>
    </sheetView>
  </sheetViews>
  <sheetFormatPr defaultRowHeight="14.5" x14ac:dyDescent="0.35"/>
  <cols>
    <col min="3" max="3" width="11.90625" customWidth="1"/>
    <col min="6" max="6" width="10.1796875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18</v>
      </c>
      <c r="G1" s="5" t="s">
        <v>13</v>
      </c>
    </row>
    <row r="2" spans="1:7" x14ac:dyDescent="0.35">
      <c r="A2" s="6">
        <v>17</v>
      </c>
      <c r="B2" s="6">
        <v>2.65</v>
      </c>
      <c r="C2" s="6">
        <v>70</v>
      </c>
      <c r="D2" s="6">
        <v>1</v>
      </c>
      <c r="E2" s="6">
        <v>0</v>
      </c>
      <c r="F2" s="6">
        <f>IF(C2&gt;=80, 1, 0)</f>
        <v>0</v>
      </c>
      <c r="G2" s="6" t="str">
        <f>IF(F2=E2, "BENAR", "SALAH")</f>
        <v>BENAR</v>
      </c>
    </row>
    <row r="3" spans="1:7" x14ac:dyDescent="0.35">
      <c r="A3" s="6">
        <v>31</v>
      </c>
      <c r="B3" s="6">
        <v>2.4500000000000002</v>
      </c>
      <c r="C3" s="6">
        <v>58</v>
      </c>
      <c r="D3" s="6">
        <v>1</v>
      </c>
      <c r="E3" s="6">
        <v>0</v>
      </c>
      <c r="F3" s="6">
        <f t="shared" ref="F3:F51" si="0">IF(C3&gt;=80, 1, 0)</f>
        <v>0</v>
      </c>
      <c r="G3" s="6" t="str">
        <f t="shared" ref="G3:G51" si="1">IF(F3=E3, "BENAR", "SALAH")</f>
        <v>BENAR</v>
      </c>
    </row>
    <row r="4" spans="1:7" x14ac:dyDescent="0.35">
      <c r="A4" s="6">
        <v>41</v>
      </c>
      <c r="B4" s="6">
        <v>3.22</v>
      </c>
      <c r="C4" s="6">
        <v>83</v>
      </c>
      <c r="D4" s="6">
        <v>0</v>
      </c>
      <c r="E4" s="6">
        <v>1</v>
      </c>
      <c r="F4" s="6">
        <f t="shared" si="0"/>
        <v>1</v>
      </c>
      <c r="G4" s="6" t="str">
        <f t="shared" si="1"/>
        <v>BENAR</v>
      </c>
    </row>
    <row r="5" spans="1:7" x14ac:dyDescent="0.35">
      <c r="A5" s="6">
        <v>40</v>
      </c>
      <c r="B5" s="6">
        <v>3.85</v>
      </c>
      <c r="C5" s="6">
        <v>98</v>
      </c>
      <c r="D5" s="6">
        <v>0</v>
      </c>
      <c r="E5" s="6">
        <v>1</v>
      </c>
      <c r="F5" s="6">
        <f t="shared" si="0"/>
        <v>1</v>
      </c>
      <c r="G5" s="6" t="str">
        <f t="shared" si="1"/>
        <v>BENAR</v>
      </c>
    </row>
    <row r="6" spans="1:7" x14ac:dyDescent="0.35">
      <c r="A6" s="6">
        <v>9</v>
      </c>
      <c r="B6" s="6">
        <v>3.1377083333333329</v>
      </c>
      <c r="C6" s="6">
        <v>75</v>
      </c>
      <c r="D6" s="6">
        <v>1</v>
      </c>
      <c r="E6" s="6">
        <v>0</v>
      </c>
      <c r="F6" s="6">
        <f t="shared" si="0"/>
        <v>0</v>
      </c>
      <c r="G6" s="6" t="str">
        <f t="shared" si="1"/>
        <v>BENAR</v>
      </c>
    </row>
    <row r="7" spans="1:7" x14ac:dyDescent="0.35">
      <c r="A7" s="6">
        <v>10</v>
      </c>
      <c r="B7" s="6">
        <v>3.6</v>
      </c>
      <c r="C7" s="6">
        <v>92</v>
      </c>
      <c r="D7" s="6">
        <v>0</v>
      </c>
      <c r="E7" s="6">
        <v>1</v>
      </c>
      <c r="F7" s="6">
        <f t="shared" si="0"/>
        <v>1</v>
      </c>
      <c r="G7" s="6" t="str">
        <f t="shared" si="1"/>
        <v>BENAR</v>
      </c>
    </row>
    <row r="8" spans="1:7" x14ac:dyDescent="0.35">
      <c r="A8" s="6">
        <v>50</v>
      </c>
      <c r="B8" s="6">
        <v>2.98</v>
      </c>
      <c r="C8" s="6">
        <v>74</v>
      </c>
      <c r="D8" s="6">
        <v>1</v>
      </c>
      <c r="E8" s="6">
        <v>0</v>
      </c>
      <c r="F8" s="6">
        <f t="shared" si="0"/>
        <v>0</v>
      </c>
      <c r="G8" s="6" t="str">
        <f t="shared" si="1"/>
        <v>BENAR</v>
      </c>
    </row>
    <row r="9" spans="1:7" x14ac:dyDescent="0.35">
      <c r="A9" s="6">
        <v>18</v>
      </c>
      <c r="B9" s="6">
        <v>3.15</v>
      </c>
      <c r="C9" s="6">
        <v>78</v>
      </c>
      <c r="D9" s="6">
        <v>1</v>
      </c>
      <c r="E9" s="6">
        <v>1</v>
      </c>
      <c r="F9" s="6">
        <f t="shared" si="0"/>
        <v>0</v>
      </c>
      <c r="G9" s="6" t="str">
        <f t="shared" si="1"/>
        <v>SALAH</v>
      </c>
    </row>
    <row r="10" spans="1:7" x14ac:dyDescent="0.35">
      <c r="A10" s="6">
        <v>44</v>
      </c>
      <c r="B10" s="6">
        <v>3.48</v>
      </c>
      <c r="C10" s="6">
        <v>92</v>
      </c>
      <c r="D10" s="6">
        <v>0</v>
      </c>
      <c r="E10" s="6">
        <v>1</v>
      </c>
      <c r="F10" s="6">
        <f t="shared" si="0"/>
        <v>1</v>
      </c>
      <c r="G10" s="6" t="str">
        <f t="shared" si="1"/>
        <v>BENAR</v>
      </c>
    </row>
    <row r="11" spans="1:7" x14ac:dyDescent="0.35">
      <c r="A11" s="6">
        <v>47</v>
      </c>
      <c r="B11" s="6">
        <v>2.52</v>
      </c>
      <c r="C11" s="6">
        <v>61</v>
      </c>
      <c r="D11" s="6">
        <v>1</v>
      </c>
      <c r="E11" s="6">
        <v>0</v>
      </c>
      <c r="F11" s="6">
        <f t="shared" si="0"/>
        <v>0</v>
      </c>
      <c r="G11" s="6" t="str">
        <f t="shared" si="1"/>
        <v>BENAR</v>
      </c>
    </row>
    <row r="12" spans="1:7" x14ac:dyDescent="0.35">
      <c r="A12" s="6">
        <v>12</v>
      </c>
      <c r="B12" s="6">
        <v>3.3</v>
      </c>
      <c r="C12" s="6">
        <v>85</v>
      </c>
      <c r="D12" s="6">
        <v>0</v>
      </c>
      <c r="E12" s="6">
        <v>1</v>
      </c>
      <c r="F12" s="6">
        <f t="shared" si="0"/>
        <v>1</v>
      </c>
      <c r="G12" s="6" t="str">
        <f t="shared" si="1"/>
        <v>BENAR</v>
      </c>
    </row>
    <row r="13" spans="1:7" x14ac:dyDescent="0.35">
      <c r="A13" s="6">
        <v>25</v>
      </c>
      <c r="B13" s="6">
        <v>2.95</v>
      </c>
      <c r="C13" s="6">
        <v>74</v>
      </c>
      <c r="D13" s="6">
        <v>1</v>
      </c>
      <c r="E13" s="6">
        <v>0</v>
      </c>
      <c r="F13" s="6">
        <f t="shared" si="0"/>
        <v>0</v>
      </c>
      <c r="G13" s="6" t="str">
        <f t="shared" si="1"/>
        <v>BENAR</v>
      </c>
    </row>
    <row r="14" spans="1:7" x14ac:dyDescent="0.35">
      <c r="A14" s="6">
        <v>15</v>
      </c>
      <c r="B14" s="6">
        <v>3.9</v>
      </c>
      <c r="C14" s="6">
        <v>100</v>
      </c>
      <c r="D14" s="6">
        <v>0</v>
      </c>
      <c r="E14" s="6">
        <v>1</v>
      </c>
      <c r="F14" s="6">
        <f t="shared" si="0"/>
        <v>1</v>
      </c>
      <c r="G14" s="6" t="str">
        <f t="shared" si="1"/>
        <v>BENAR</v>
      </c>
    </row>
    <row r="15" spans="1:7" x14ac:dyDescent="0.35">
      <c r="A15" s="6">
        <v>3</v>
      </c>
      <c r="B15" s="6">
        <v>3.2</v>
      </c>
      <c r="C15" s="6">
        <v>85</v>
      </c>
      <c r="D15" s="6">
        <v>0</v>
      </c>
      <c r="E15" s="6">
        <v>1</v>
      </c>
      <c r="F15" s="6">
        <f t="shared" si="0"/>
        <v>1</v>
      </c>
      <c r="G15" s="6" t="str">
        <f t="shared" si="1"/>
        <v>BENAR</v>
      </c>
    </row>
    <row r="16" spans="1:7" x14ac:dyDescent="0.35">
      <c r="A16" s="6">
        <v>24</v>
      </c>
      <c r="B16" s="6">
        <v>3.35</v>
      </c>
      <c r="C16" s="6">
        <v>87</v>
      </c>
      <c r="D16" s="6">
        <v>0</v>
      </c>
      <c r="E16" s="6">
        <v>1</v>
      </c>
      <c r="F16" s="6">
        <f t="shared" si="0"/>
        <v>1</v>
      </c>
      <c r="G16" s="6" t="str">
        <f t="shared" si="1"/>
        <v>BENAR</v>
      </c>
    </row>
    <row r="17" spans="1:7" x14ac:dyDescent="0.35">
      <c r="A17" s="6">
        <v>19</v>
      </c>
      <c r="B17" s="6">
        <v>3.45</v>
      </c>
      <c r="C17" s="6">
        <v>90</v>
      </c>
      <c r="D17" s="6">
        <v>0</v>
      </c>
      <c r="E17" s="6">
        <v>1</v>
      </c>
      <c r="F17" s="6">
        <f t="shared" si="0"/>
        <v>1</v>
      </c>
      <c r="G17" s="6" t="str">
        <f t="shared" si="1"/>
        <v>BENAR</v>
      </c>
    </row>
    <row r="18" spans="1:7" x14ac:dyDescent="0.35">
      <c r="A18" s="6">
        <v>1</v>
      </c>
      <c r="B18" s="6">
        <v>3.5</v>
      </c>
      <c r="C18" s="6">
        <v>90</v>
      </c>
      <c r="D18" s="6">
        <v>0</v>
      </c>
      <c r="E18" s="6">
        <v>1</v>
      </c>
      <c r="F18" s="6">
        <f t="shared" si="0"/>
        <v>1</v>
      </c>
      <c r="G18" s="6" t="str">
        <f t="shared" si="1"/>
        <v>BENAR</v>
      </c>
    </row>
    <row r="19" spans="1:7" x14ac:dyDescent="0.35">
      <c r="A19" s="6">
        <v>16</v>
      </c>
      <c r="B19" s="6">
        <v>3.25</v>
      </c>
      <c r="C19" s="6">
        <v>82</v>
      </c>
      <c r="D19" s="6">
        <v>0</v>
      </c>
      <c r="E19" s="6">
        <v>1</v>
      </c>
      <c r="F19" s="6">
        <f t="shared" si="0"/>
        <v>1</v>
      </c>
      <c r="G19" s="6" t="str">
        <f t="shared" si="1"/>
        <v>BENAR</v>
      </c>
    </row>
    <row r="20" spans="1:7" x14ac:dyDescent="0.35">
      <c r="A20" s="6">
        <v>49</v>
      </c>
      <c r="B20" s="6">
        <v>3.32</v>
      </c>
      <c r="C20" s="6">
        <v>84</v>
      </c>
      <c r="D20" s="6">
        <v>0</v>
      </c>
      <c r="E20" s="6">
        <v>1</v>
      </c>
      <c r="F20" s="6">
        <f t="shared" si="0"/>
        <v>1</v>
      </c>
      <c r="G20" s="6" t="str">
        <f t="shared" si="1"/>
        <v>BENAR</v>
      </c>
    </row>
    <row r="21" spans="1:7" x14ac:dyDescent="0.35">
      <c r="A21" s="6">
        <v>11</v>
      </c>
      <c r="B21" s="6">
        <v>2.7</v>
      </c>
      <c r="C21" s="6">
        <v>65</v>
      </c>
      <c r="D21" s="6">
        <v>1</v>
      </c>
      <c r="E21" s="6">
        <v>0</v>
      </c>
      <c r="F21" s="6">
        <f t="shared" si="0"/>
        <v>0</v>
      </c>
      <c r="G21" s="6" t="str">
        <f t="shared" si="1"/>
        <v>BENAR</v>
      </c>
    </row>
    <row r="22" spans="1:7" x14ac:dyDescent="0.35">
      <c r="A22" s="6">
        <v>6</v>
      </c>
      <c r="B22" s="6">
        <v>2.9</v>
      </c>
      <c r="C22" s="6">
        <v>70</v>
      </c>
      <c r="D22" s="6">
        <v>1</v>
      </c>
      <c r="E22" s="6">
        <v>0</v>
      </c>
      <c r="F22" s="6">
        <f t="shared" si="0"/>
        <v>0</v>
      </c>
      <c r="G22" s="6" t="str">
        <f t="shared" si="1"/>
        <v>BENAR</v>
      </c>
    </row>
    <row r="23" spans="1:7" x14ac:dyDescent="0.35">
      <c r="A23" s="6">
        <v>22</v>
      </c>
      <c r="B23" s="6">
        <v>2.5499999999999998</v>
      </c>
      <c r="C23" s="6">
        <v>62</v>
      </c>
      <c r="D23" s="6">
        <v>1</v>
      </c>
      <c r="E23" s="6">
        <v>0</v>
      </c>
      <c r="F23" s="6">
        <f t="shared" si="0"/>
        <v>0</v>
      </c>
      <c r="G23" s="6" t="str">
        <f t="shared" si="1"/>
        <v>BENAR</v>
      </c>
    </row>
    <row r="24" spans="1:7" x14ac:dyDescent="0.35">
      <c r="A24" s="6">
        <v>29</v>
      </c>
      <c r="B24" s="6">
        <v>3.1377083333333329</v>
      </c>
      <c r="C24" s="6">
        <v>80</v>
      </c>
      <c r="D24" s="6">
        <v>1</v>
      </c>
      <c r="E24" s="6">
        <v>1</v>
      </c>
      <c r="F24" s="6">
        <f t="shared" si="0"/>
        <v>1</v>
      </c>
      <c r="G24" s="6" t="str">
        <f t="shared" si="1"/>
        <v>BENAR</v>
      </c>
    </row>
    <row r="25" spans="1:7" x14ac:dyDescent="0.35">
      <c r="A25" s="6">
        <v>34</v>
      </c>
      <c r="B25" s="6">
        <v>2.88</v>
      </c>
      <c r="C25" s="6">
        <v>73</v>
      </c>
      <c r="D25" s="6">
        <v>1</v>
      </c>
      <c r="E25" s="6">
        <v>0</v>
      </c>
      <c r="F25" s="6">
        <f t="shared" si="0"/>
        <v>0</v>
      </c>
      <c r="G25" s="6" t="str">
        <f t="shared" si="1"/>
        <v>BENAR</v>
      </c>
    </row>
    <row r="26" spans="1:7" x14ac:dyDescent="0.35">
      <c r="A26" s="6">
        <v>39</v>
      </c>
      <c r="B26" s="6">
        <v>2.92</v>
      </c>
      <c r="C26" s="6">
        <v>71</v>
      </c>
      <c r="D26" s="6">
        <v>1</v>
      </c>
      <c r="E26" s="6">
        <v>0</v>
      </c>
      <c r="F26" s="6">
        <f t="shared" si="0"/>
        <v>0</v>
      </c>
      <c r="G26" s="6" t="str">
        <f t="shared" si="1"/>
        <v>BENAR</v>
      </c>
    </row>
    <row r="27" spans="1:7" x14ac:dyDescent="0.35">
      <c r="A27" s="6">
        <v>26</v>
      </c>
      <c r="B27" s="6">
        <v>3.55</v>
      </c>
      <c r="C27" s="6">
        <v>91</v>
      </c>
      <c r="D27" s="6">
        <v>0</v>
      </c>
      <c r="E27" s="6">
        <v>1</v>
      </c>
      <c r="F27" s="6">
        <f t="shared" si="0"/>
        <v>1</v>
      </c>
      <c r="G27" s="6" t="str">
        <f t="shared" si="1"/>
        <v>BENAR</v>
      </c>
    </row>
    <row r="28" spans="1:7" x14ac:dyDescent="0.35">
      <c r="A28" s="6">
        <v>23</v>
      </c>
      <c r="B28" s="6">
        <v>3.05</v>
      </c>
      <c r="C28" s="6">
        <v>80</v>
      </c>
      <c r="D28" s="6">
        <v>1</v>
      </c>
      <c r="E28" s="6">
        <v>1</v>
      </c>
      <c r="F28" s="6">
        <f t="shared" si="0"/>
        <v>1</v>
      </c>
      <c r="G28" s="6" t="str">
        <f t="shared" si="1"/>
        <v>BENAR</v>
      </c>
    </row>
    <row r="29" spans="1:7" x14ac:dyDescent="0.35">
      <c r="A29" s="6">
        <v>30</v>
      </c>
      <c r="B29" s="6">
        <v>3.65</v>
      </c>
      <c r="C29" s="6">
        <v>93</v>
      </c>
      <c r="D29" s="6">
        <v>0</v>
      </c>
      <c r="E29" s="6">
        <v>1</v>
      </c>
      <c r="F29" s="6">
        <f t="shared" si="0"/>
        <v>1</v>
      </c>
      <c r="G29" s="6" t="str">
        <f t="shared" si="1"/>
        <v>BENAR</v>
      </c>
    </row>
    <row r="30" spans="1:7" x14ac:dyDescent="0.35">
      <c r="A30" s="6">
        <v>4</v>
      </c>
      <c r="B30" s="6">
        <v>2.5</v>
      </c>
      <c r="C30" s="6">
        <v>60</v>
      </c>
      <c r="D30" s="6">
        <v>1</v>
      </c>
      <c r="E30" s="6">
        <v>0</v>
      </c>
      <c r="F30" s="6">
        <f t="shared" si="0"/>
        <v>0</v>
      </c>
      <c r="G30" s="6" t="str">
        <f t="shared" si="1"/>
        <v>BENAR</v>
      </c>
    </row>
    <row r="31" spans="1:7" x14ac:dyDescent="0.35">
      <c r="A31" s="6">
        <v>27</v>
      </c>
      <c r="B31" s="6">
        <v>2.75</v>
      </c>
      <c r="C31" s="6">
        <v>68</v>
      </c>
      <c r="D31" s="6">
        <v>1</v>
      </c>
      <c r="E31" s="6">
        <v>0</v>
      </c>
      <c r="F31" s="6">
        <f t="shared" si="0"/>
        <v>0</v>
      </c>
      <c r="G31" s="6" t="str">
        <f t="shared" si="1"/>
        <v>BENAR</v>
      </c>
    </row>
    <row r="32" spans="1:7" x14ac:dyDescent="0.35">
      <c r="A32" s="6">
        <v>14</v>
      </c>
      <c r="B32" s="6">
        <v>2.4</v>
      </c>
      <c r="C32" s="6">
        <v>55</v>
      </c>
      <c r="D32" s="6">
        <v>1</v>
      </c>
      <c r="E32" s="6">
        <v>0</v>
      </c>
      <c r="F32" s="6">
        <f t="shared" si="0"/>
        <v>0</v>
      </c>
      <c r="G32" s="6" t="str">
        <f t="shared" si="1"/>
        <v>BENAR</v>
      </c>
    </row>
    <row r="33" spans="1:7" x14ac:dyDescent="0.35">
      <c r="A33" s="6">
        <v>20</v>
      </c>
      <c r="B33" s="6">
        <v>2.85</v>
      </c>
      <c r="C33" s="6">
        <v>72</v>
      </c>
      <c r="D33" s="6">
        <v>1</v>
      </c>
      <c r="E33" s="6">
        <v>0</v>
      </c>
      <c r="F33" s="6">
        <f t="shared" si="0"/>
        <v>0</v>
      </c>
      <c r="G33" s="6" t="str">
        <f t="shared" si="1"/>
        <v>BENAR</v>
      </c>
    </row>
    <row r="34" spans="1:7" x14ac:dyDescent="0.35">
      <c r="A34" s="6">
        <v>28</v>
      </c>
      <c r="B34" s="6">
        <v>3.28</v>
      </c>
      <c r="C34" s="6">
        <v>84</v>
      </c>
      <c r="D34" s="6">
        <v>0</v>
      </c>
      <c r="E34" s="6">
        <v>1</v>
      </c>
      <c r="F34" s="6">
        <f t="shared" si="0"/>
        <v>1</v>
      </c>
      <c r="G34" s="6" t="str">
        <f t="shared" si="1"/>
        <v>BENAR</v>
      </c>
    </row>
    <row r="35" spans="1:7" x14ac:dyDescent="0.35">
      <c r="A35" s="6">
        <v>48</v>
      </c>
      <c r="B35" s="6">
        <v>3.02</v>
      </c>
      <c r="C35" s="6">
        <v>79</v>
      </c>
      <c r="D35" s="6">
        <v>1</v>
      </c>
      <c r="E35" s="6">
        <v>1</v>
      </c>
      <c r="F35" s="6">
        <f t="shared" si="0"/>
        <v>0</v>
      </c>
      <c r="G35" s="6" t="str">
        <f t="shared" si="1"/>
        <v>SALAH</v>
      </c>
    </row>
    <row r="36" spans="1:7" x14ac:dyDescent="0.35">
      <c r="A36" s="6">
        <v>13</v>
      </c>
      <c r="B36" s="6">
        <v>3</v>
      </c>
      <c r="C36" s="6">
        <v>79.6875</v>
      </c>
      <c r="D36" s="6">
        <v>1</v>
      </c>
      <c r="E36" s="6">
        <v>1</v>
      </c>
      <c r="F36" s="6">
        <f t="shared" si="0"/>
        <v>0</v>
      </c>
      <c r="G36" s="6" t="str">
        <f t="shared" si="1"/>
        <v>SALAH</v>
      </c>
    </row>
    <row r="37" spans="1:7" x14ac:dyDescent="0.35">
      <c r="A37" s="6">
        <v>35</v>
      </c>
      <c r="B37" s="6">
        <v>3.75</v>
      </c>
      <c r="C37" s="6">
        <v>96</v>
      </c>
      <c r="D37" s="6">
        <v>0</v>
      </c>
      <c r="E37" s="6">
        <v>1</v>
      </c>
      <c r="F37" s="6">
        <f t="shared" si="0"/>
        <v>1</v>
      </c>
      <c r="G37" s="6" t="str">
        <f t="shared" si="1"/>
        <v>BENAR</v>
      </c>
    </row>
    <row r="38" spans="1:7" x14ac:dyDescent="0.35">
      <c r="A38" s="6">
        <v>33</v>
      </c>
      <c r="B38" s="6">
        <v>3.42</v>
      </c>
      <c r="C38" s="6">
        <v>89</v>
      </c>
      <c r="D38" s="6">
        <v>0</v>
      </c>
      <c r="E38" s="6">
        <v>1</v>
      </c>
      <c r="F38" s="6">
        <f t="shared" si="0"/>
        <v>1</v>
      </c>
      <c r="G38" s="6" t="str">
        <f t="shared" si="1"/>
        <v>BENAR</v>
      </c>
    </row>
    <row r="39" spans="1:7" x14ac:dyDescent="0.35">
      <c r="A39" s="6">
        <v>37</v>
      </c>
      <c r="B39" s="6">
        <v>3.08</v>
      </c>
      <c r="C39" s="6">
        <v>81</v>
      </c>
      <c r="D39" s="6">
        <v>1</v>
      </c>
      <c r="E39" s="6">
        <v>1</v>
      </c>
      <c r="F39" s="6">
        <f t="shared" si="0"/>
        <v>1</v>
      </c>
      <c r="G39" s="6" t="str">
        <f t="shared" si="1"/>
        <v>BENAR</v>
      </c>
    </row>
    <row r="40" spans="1:7" x14ac:dyDescent="0.35">
      <c r="A40" s="6">
        <v>5</v>
      </c>
      <c r="B40" s="6">
        <v>3.8</v>
      </c>
      <c r="C40" s="6">
        <v>95</v>
      </c>
      <c r="D40" s="6">
        <v>0</v>
      </c>
      <c r="E40" s="6">
        <v>1</v>
      </c>
      <c r="F40" s="6">
        <f t="shared" si="0"/>
        <v>1</v>
      </c>
      <c r="G40" s="6" t="str">
        <f t="shared" si="1"/>
        <v>BENAR</v>
      </c>
    </row>
    <row r="41" spans="1:7" x14ac:dyDescent="0.35">
      <c r="A41" s="6">
        <v>2</v>
      </c>
      <c r="B41" s="6">
        <v>2.8</v>
      </c>
      <c r="C41" s="6">
        <v>75</v>
      </c>
      <c r="D41" s="6">
        <v>1</v>
      </c>
      <c r="E41" s="6">
        <v>0</v>
      </c>
      <c r="F41" s="6">
        <f t="shared" si="0"/>
        <v>0</v>
      </c>
      <c r="G41" s="6" t="str">
        <f t="shared" si="1"/>
        <v>BENAR</v>
      </c>
    </row>
    <row r="42" spans="1:7" x14ac:dyDescent="0.35">
      <c r="A42" s="6">
        <v>8</v>
      </c>
      <c r="B42" s="6">
        <v>3.4</v>
      </c>
      <c r="C42" s="6">
        <v>88</v>
      </c>
      <c r="D42" s="6">
        <v>0</v>
      </c>
      <c r="E42" s="6">
        <v>1</v>
      </c>
      <c r="F42" s="6">
        <f t="shared" si="0"/>
        <v>1</v>
      </c>
      <c r="G42" s="6" t="str">
        <f t="shared" si="1"/>
        <v>BENAR</v>
      </c>
    </row>
    <row r="43" spans="1:7" x14ac:dyDescent="0.35">
      <c r="A43" s="6">
        <v>42</v>
      </c>
      <c r="B43" s="6">
        <v>2.72</v>
      </c>
      <c r="C43" s="6">
        <v>67</v>
      </c>
      <c r="D43" s="6">
        <v>1</v>
      </c>
      <c r="E43" s="6">
        <v>0</v>
      </c>
      <c r="F43" s="6">
        <f t="shared" si="0"/>
        <v>0</v>
      </c>
      <c r="G43" s="6" t="str">
        <f t="shared" si="1"/>
        <v>BENAR</v>
      </c>
    </row>
    <row r="44" spans="1:7" x14ac:dyDescent="0.35">
      <c r="A44" s="6">
        <v>21</v>
      </c>
      <c r="B44" s="6">
        <v>3.7</v>
      </c>
      <c r="C44" s="6">
        <v>94</v>
      </c>
      <c r="D44" s="6">
        <v>0</v>
      </c>
      <c r="E44" s="6">
        <v>1</v>
      </c>
      <c r="F44" s="6">
        <f t="shared" si="0"/>
        <v>1</v>
      </c>
      <c r="G44" s="6" t="str">
        <f t="shared" si="1"/>
        <v>BENAR</v>
      </c>
    </row>
    <row r="45" spans="1:7" x14ac:dyDescent="0.35">
      <c r="A45" s="6">
        <v>32</v>
      </c>
      <c r="B45" s="6">
        <v>3.12</v>
      </c>
      <c r="C45" s="6">
        <v>79</v>
      </c>
      <c r="D45" s="6">
        <v>1</v>
      </c>
      <c r="E45" s="6">
        <v>1</v>
      </c>
      <c r="F45" s="6">
        <f t="shared" si="0"/>
        <v>0</v>
      </c>
      <c r="G45" s="6" t="str">
        <f t="shared" si="1"/>
        <v>SALAH</v>
      </c>
    </row>
    <row r="46" spans="1:7" x14ac:dyDescent="0.35">
      <c r="A46" s="6">
        <v>43</v>
      </c>
      <c r="B46" s="6">
        <v>3.18</v>
      </c>
      <c r="C46" s="6">
        <v>79.6875</v>
      </c>
      <c r="D46" s="6">
        <v>1</v>
      </c>
      <c r="E46" s="6">
        <v>1</v>
      </c>
      <c r="F46" s="6">
        <f t="shared" si="0"/>
        <v>0</v>
      </c>
      <c r="G46" s="6" t="str">
        <f t="shared" si="1"/>
        <v>SALAH</v>
      </c>
    </row>
    <row r="47" spans="1:7" x14ac:dyDescent="0.35">
      <c r="A47" s="6">
        <v>46</v>
      </c>
      <c r="B47" s="6">
        <v>3.62</v>
      </c>
      <c r="C47" s="6">
        <v>95</v>
      </c>
      <c r="D47" s="6">
        <v>0</v>
      </c>
      <c r="E47" s="6">
        <v>1</v>
      </c>
      <c r="F47" s="6">
        <f t="shared" si="0"/>
        <v>1</v>
      </c>
      <c r="G47" s="6" t="str">
        <f t="shared" si="1"/>
        <v>BENAR</v>
      </c>
    </row>
    <row r="48" spans="1:7" x14ac:dyDescent="0.35">
      <c r="A48" s="6">
        <v>45</v>
      </c>
      <c r="B48" s="6">
        <v>2.82</v>
      </c>
      <c r="C48" s="6">
        <v>76</v>
      </c>
      <c r="D48" s="6">
        <v>1</v>
      </c>
      <c r="E48" s="6">
        <v>0</v>
      </c>
      <c r="F48" s="6">
        <f t="shared" si="0"/>
        <v>0</v>
      </c>
      <c r="G48" s="6" t="str">
        <f t="shared" si="1"/>
        <v>BENAR</v>
      </c>
    </row>
    <row r="49" spans="1:7" x14ac:dyDescent="0.35">
      <c r="A49" s="6">
        <v>7</v>
      </c>
      <c r="B49" s="6">
        <v>3.1</v>
      </c>
      <c r="C49" s="6">
        <v>80</v>
      </c>
      <c r="D49" s="6">
        <v>1</v>
      </c>
      <c r="E49" s="6">
        <v>1</v>
      </c>
      <c r="F49" s="6">
        <f t="shared" si="0"/>
        <v>1</v>
      </c>
      <c r="G49" s="6" t="str">
        <f t="shared" si="1"/>
        <v>BENAR</v>
      </c>
    </row>
    <row r="50" spans="1:7" x14ac:dyDescent="0.35">
      <c r="A50" s="6">
        <v>36</v>
      </c>
      <c r="B50" s="6">
        <v>2.6</v>
      </c>
      <c r="C50" s="6">
        <v>63</v>
      </c>
      <c r="D50" s="6">
        <v>1</v>
      </c>
      <c r="E50" s="6">
        <v>0</v>
      </c>
      <c r="F50" s="6">
        <f t="shared" si="0"/>
        <v>0</v>
      </c>
      <c r="G50" s="6" t="str">
        <f t="shared" si="1"/>
        <v>BENAR</v>
      </c>
    </row>
    <row r="51" spans="1:7" x14ac:dyDescent="0.35">
      <c r="A51" s="6">
        <v>38</v>
      </c>
      <c r="B51" s="6">
        <v>3.38</v>
      </c>
      <c r="C51" s="6">
        <v>86</v>
      </c>
      <c r="D51" s="6">
        <v>0</v>
      </c>
      <c r="E51" s="6">
        <v>1</v>
      </c>
      <c r="F51" s="6">
        <f t="shared" si="0"/>
        <v>1</v>
      </c>
      <c r="G51" s="6" t="str">
        <f t="shared" si="1"/>
        <v>BENAR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selection activeCell="F2" sqref="A1:G51"/>
    </sheetView>
  </sheetViews>
  <sheetFormatPr defaultRowHeight="14.5" x14ac:dyDescent="0.35"/>
  <sheetData>
    <row r="1" spans="1: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19</v>
      </c>
      <c r="G1" s="5" t="s">
        <v>13</v>
      </c>
    </row>
    <row r="2" spans="1:9" x14ac:dyDescent="0.35">
      <c r="A2" s="6">
        <v>31</v>
      </c>
      <c r="B2" s="6">
        <v>2.4500000000000002</v>
      </c>
      <c r="C2" s="6">
        <v>58</v>
      </c>
      <c r="D2" s="6">
        <v>1</v>
      </c>
      <c r="E2" s="6">
        <v>0</v>
      </c>
      <c r="F2" s="6">
        <f>IF(D2=1, 1, 0)</f>
        <v>1</v>
      </c>
      <c r="G2" s="6" t="str">
        <f>IF(F2=E2, "BENAR", "SALAH")</f>
        <v>SALAH</v>
      </c>
    </row>
    <row r="3" spans="1:9" x14ac:dyDescent="0.35">
      <c r="A3" s="6">
        <v>2</v>
      </c>
      <c r="B3" s="6">
        <v>2.8</v>
      </c>
      <c r="C3" s="6">
        <v>75</v>
      </c>
      <c r="D3" s="6">
        <v>1</v>
      </c>
      <c r="E3" s="6">
        <v>0</v>
      </c>
      <c r="F3" s="6">
        <f t="shared" ref="F3:F51" si="0">IF(D3=1, 1, 0)</f>
        <v>1</v>
      </c>
      <c r="G3" s="6" t="str">
        <f t="shared" ref="G3:G51" si="1">IF(F3=E3, "BENAR", "SALAH")</f>
        <v>SALAH</v>
      </c>
    </row>
    <row r="4" spans="1:9" x14ac:dyDescent="0.35">
      <c r="A4" s="6">
        <v>41</v>
      </c>
      <c r="B4" s="6">
        <v>3.22</v>
      </c>
      <c r="C4" s="6">
        <v>83</v>
      </c>
      <c r="D4" s="6">
        <v>0</v>
      </c>
      <c r="E4" s="6">
        <v>1</v>
      </c>
      <c r="F4" s="6">
        <f t="shared" si="0"/>
        <v>0</v>
      </c>
      <c r="G4" s="6" t="str">
        <f t="shared" si="1"/>
        <v>SALAH</v>
      </c>
    </row>
    <row r="5" spans="1:9" x14ac:dyDescent="0.35">
      <c r="A5" s="6">
        <v>45</v>
      </c>
      <c r="B5" s="6">
        <v>2.82</v>
      </c>
      <c r="C5" s="6">
        <v>76</v>
      </c>
      <c r="D5" s="6">
        <v>1</v>
      </c>
      <c r="E5" s="6">
        <v>0</v>
      </c>
      <c r="F5" s="6">
        <f t="shared" si="0"/>
        <v>1</v>
      </c>
      <c r="G5" s="6" t="str">
        <f t="shared" si="1"/>
        <v>SALAH</v>
      </c>
    </row>
    <row r="6" spans="1:9" x14ac:dyDescent="0.35">
      <c r="A6" s="6">
        <v>19</v>
      </c>
      <c r="B6" s="6">
        <v>3.45</v>
      </c>
      <c r="C6" s="6">
        <v>90</v>
      </c>
      <c r="D6" s="6">
        <v>0</v>
      </c>
      <c r="E6" s="6">
        <v>1</v>
      </c>
      <c r="F6" s="6">
        <f t="shared" si="0"/>
        <v>0</v>
      </c>
      <c r="G6" s="6" t="str">
        <f t="shared" si="1"/>
        <v>SALAH</v>
      </c>
    </row>
    <row r="7" spans="1:9" x14ac:dyDescent="0.35">
      <c r="A7" s="6">
        <v>39</v>
      </c>
      <c r="B7" s="6">
        <v>2.92</v>
      </c>
      <c r="C7" s="6">
        <v>71</v>
      </c>
      <c r="D7" s="6">
        <v>1</v>
      </c>
      <c r="E7" s="6">
        <v>0</v>
      </c>
      <c r="F7" s="6">
        <f t="shared" si="0"/>
        <v>1</v>
      </c>
      <c r="G7" s="6" t="str">
        <f t="shared" si="1"/>
        <v>SALAH</v>
      </c>
    </row>
    <row r="8" spans="1:9" x14ac:dyDescent="0.35">
      <c r="A8" s="6">
        <v>49</v>
      </c>
      <c r="B8" s="6">
        <v>3.32</v>
      </c>
      <c r="C8" s="6">
        <v>84</v>
      </c>
      <c r="D8" s="6">
        <v>0</v>
      </c>
      <c r="E8" s="6">
        <v>1</v>
      </c>
      <c r="F8" s="6">
        <f t="shared" si="0"/>
        <v>0</v>
      </c>
      <c r="G8" s="6" t="str">
        <f t="shared" si="1"/>
        <v>SALAH</v>
      </c>
    </row>
    <row r="9" spans="1:9" x14ac:dyDescent="0.35">
      <c r="A9" s="6">
        <v>29</v>
      </c>
      <c r="B9" s="6">
        <v>3.1377083333333329</v>
      </c>
      <c r="C9" s="6">
        <v>80</v>
      </c>
      <c r="D9" s="6">
        <v>1</v>
      </c>
      <c r="E9" s="6">
        <v>1</v>
      </c>
      <c r="F9" s="6">
        <f t="shared" si="0"/>
        <v>1</v>
      </c>
      <c r="G9" s="6" t="str">
        <f t="shared" si="1"/>
        <v>BENAR</v>
      </c>
      <c r="I9" s="9"/>
    </row>
    <row r="10" spans="1:9" x14ac:dyDescent="0.35">
      <c r="A10" s="6">
        <v>21</v>
      </c>
      <c r="B10" s="6">
        <v>3.7</v>
      </c>
      <c r="C10" s="6">
        <v>94</v>
      </c>
      <c r="D10" s="6">
        <v>0</v>
      </c>
      <c r="E10" s="6">
        <v>1</v>
      </c>
      <c r="F10" s="6">
        <f t="shared" si="0"/>
        <v>0</v>
      </c>
      <c r="G10" s="6" t="str">
        <f t="shared" si="1"/>
        <v>SALAH</v>
      </c>
      <c r="I10" s="10"/>
    </row>
    <row r="11" spans="1:9" x14ac:dyDescent="0.35">
      <c r="A11" s="6">
        <v>30</v>
      </c>
      <c r="B11" s="6">
        <v>3.65</v>
      </c>
      <c r="C11" s="6">
        <v>93</v>
      </c>
      <c r="D11" s="6">
        <v>0</v>
      </c>
      <c r="E11" s="6">
        <v>1</v>
      </c>
      <c r="F11" s="6">
        <f t="shared" si="0"/>
        <v>0</v>
      </c>
      <c r="G11" s="6" t="str">
        <f t="shared" si="1"/>
        <v>SALAH</v>
      </c>
      <c r="I11" s="11"/>
    </row>
    <row r="12" spans="1:9" x14ac:dyDescent="0.35">
      <c r="A12" s="6">
        <v>5</v>
      </c>
      <c r="B12" s="6">
        <v>3.8</v>
      </c>
      <c r="C12" s="6">
        <v>95</v>
      </c>
      <c r="D12" s="6">
        <v>0</v>
      </c>
      <c r="E12" s="6">
        <v>1</v>
      </c>
      <c r="F12" s="6">
        <f t="shared" si="0"/>
        <v>0</v>
      </c>
      <c r="G12" s="6" t="str">
        <f t="shared" si="1"/>
        <v>SALAH</v>
      </c>
    </row>
    <row r="13" spans="1:9" x14ac:dyDescent="0.35">
      <c r="A13" s="6">
        <v>12</v>
      </c>
      <c r="B13" s="6">
        <v>3.3</v>
      </c>
      <c r="C13" s="6">
        <v>85</v>
      </c>
      <c r="D13" s="6">
        <v>0</v>
      </c>
      <c r="E13" s="6">
        <v>1</v>
      </c>
      <c r="F13" s="6">
        <f t="shared" si="0"/>
        <v>0</v>
      </c>
      <c r="G13" s="6" t="str">
        <f t="shared" si="1"/>
        <v>SALAH</v>
      </c>
    </row>
    <row r="14" spans="1:9" x14ac:dyDescent="0.35">
      <c r="A14" s="6">
        <v>47</v>
      </c>
      <c r="B14" s="6">
        <v>2.52</v>
      </c>
      <c r="C14" s="6">
        <v>61</v>
      </c>
      <c r="D14" s="6">
        <v>1</v>
      </c>
      <c r="E14" s="6">
        <v>0</v>
      </c>
      <c r="F14" s="6">
        <f t="shared" si="0"/>
        <v>1</v>
      </c>
      <c r="G14" s="6" t="str">
        <f t="shared" si="1"/>
        <v>SALAH</v>
      </c>
    </row>
    <row r="15" spans="1:9" x14ac:dyDescent="0.35">
      <c r="A15" s="6">
        <v>35</v>
      </c>
      <c r="B15" s="6">
        <v>3.75</v>
      </c>
      <c r="C15" s="6">
        <v>96</v>
      </c>
      <c r="D15" s="6">
        <v>0</v>
      </c>
      <c r="E15" s="6">
        <v>1</v>
      </c>
      <c r="F15" s="6">
        <f t="shared" si="0"/>
        <v>0</v>
      </c>
      <c r="G15" s="6" t="str">
        <f t="shared" si="1"/>
        <v>SALAH</v>
      </c>
    </row>
    <row r="16" spans="1:9" x14ac:dyDescent="0.35">
      <c r="A16" s="6">
        <v>38</v>
      </c>
      <c r="B16" s="6">
        <v>3.38</v>
      </c>
      <c r="C16" s="6">
        <v>86</v>
      </c>
      <c r="D16" s="6">
        <v>0</v>
      </c>
      <c r="E16" s="6">
        <v>1</v>
      </c>
      <c r="F16" s="6">
        <f t="shared" si="0"/>
        <v>0</v>
      </c>
      <c r="G16" s="6" t="str">
        <f t="shared" si="1"/>
        <v>SALAH</v>
      </c>
    </row>
    <row r="17" spans="1:7" x14ac:dyDescent="0.35">
      <c r="A17" s="6">
        <v>15</v>
      </c>
      <c r="B17" s="6">
        <v>3.9</v>
      </c>
      <c r="C17" s="6">
        <v>100</v>
      </c>
      <c r="D17" s="6">
        <v>0</v>
      </c>
      <c r="E17" s="6">
        <v>1</v>
      </c>
      <c r="F17" s="6">
        <f t="shared" si="0"/>
        <v>0</v>
      </c>
      <c r="G17" s="6" t="str">
        <f t="shared" si="1"/>
        <v>SALAH</v>
      </c>
    </row>
    <row r="18" spans="1:7" x14ac:dyDescent="0.35">
      <c r="A18" s="6">
        <v>4</v>
      </c>
      <c r="B18" s="6">
        <v>2.5</v>
      </c>
      <c r="C18" s="6">
        <v>60</v>
      </c>
      <c r="D18" s="6">
        <v>1</v>
      </c>
      <c r="E18" s="6">
        <v>0</v>
      </c>
      <c r="F18" s="6">
        <f t="shared" si="0"/>
        <v>1</v>
      </c>
      <c r="G18" s="6" t="str">
        <f t="shared" si="1"/>
        <v>SALAH</v>
      </c>
    </row>
    <row r="19" spans="1:7" x14ac:dyDescent="0.35">
      <c r="A19" s="6">
        <v>6</v>
      </c>
      <c r="B19" s="6">
        <v>2.9</v>
      </c>
      <c r="C19" s="6">
        <v>70</v>
      </c>
      <c r="D19" s="6">
        <v>1</v>
      </c>
      <c r="E19" s="6">
        <v>0</v>
      </c>
      <c r="F19" s="6">
        <f t="shared" si="0"/>
        <v>1</v>
      </c>
      <c r="G19" s="6" t="str">
        <f t="shared" si="1"/>
        <v>SALAH</v>
      </c>
    </row>
    <row r="20" spans="1:7" x14ac:dyDescent="0.35">
      <c r="A20" s="6">
        <v>46</v>
      </c>
      <c r="B20" s="6">
        <v>3.62</v>
      </c>
      <c r="C20" s="6">
        <v>95</v>
      </c>
      <c r="D20" s="6">
        <v>0</v>
      </c>
      <c r="E20" s="6">
        <v>1</v>
      </c>
      <c r="F20" s="6">
        <f t="shared" si="0"/>
        <v>0</v>
      </c>
      <c r="G20" s="6" t="str">
        <f t="shared" si="1"/>
        <v>SALAH</v>
      </c>
    </row>
    <row r="21" spans="1:7" x14ac:dyDescent="0.35">
      <c r="A21" s="6">
        <v>13</v>
      </c>
      <c r="B21" s="6">
        <v>3</v>
      </c>
      <c r="C21" s="6">
        <v>79.6875</v>
      </c>
      <c r="D21" s="6">
        <v>1</v>
      </c>
      <c r="E21" s="6">
        <v>1</v>
      </c>
      <c r="F21" s="6">
        <f t="shared" si="0"/>
        <v>1</v>
      </c>
      <c r="G21" s="6" t="str">
        <f t="shared" si="1"/>
        <v>BENAR</v>
      </c>
    </row>
    <row r="22" spans="1:7" x14ac:dyDescent="0.35">
      <c r="A22" s="6">
        <v>20</v>
      </c>
      <c r="B22" s="6">
        <v>2.85</v>
      </c>
      <c r="C22" s="6">
        <v>72</v>
      </c>
      <c r="D22" s="6">
        <v>1</v>
      </c>
      <c r="E22" s="6">
        <v>0</v>
      </c>
      <c r="F22" s="6">
        <f t="shared" si="0"/>
        <v>1</v>
      </c>
      <c r="G22" s="6" t="str">
        <f t="shared" si="1"/>
        <v>SALAH</v>
      </c>
    </row>
    <row r="23" spans="1:7" x14ac:dyDescent="0.35">
      <c r="A23" s="6">
        <v>24</v>
      </c>
      <c r="B23" s="6">
        <v>3.35</v>
      </c>
      <c r="C23" s="6">
        <v>87</v>
      </c>
      <c r="D23" s="6">
        <v>0</v>
      </c>
      <c r="E23" s="6">
        <v>1</v>
      </c>
      <c r="F23" s="6">
        <f t="shared" si="0"/>
        <v>0</v>
      </c>
      <c r="G23" s="6" t="str">
        <f t="shared" si="1"/>
        <v>SALAH</v>
      </c>
    </row>
    <row r="24" spans="1:7" x14ac:dyDescent="0.35">
      <c r="A24" s="6">
        <v>40</v>
      </c>
      <c r="B24" s="6">
        <v>3.85</v>
      </c>
      <c r="C24" s="6">
        <v>98</v>
      </c>
      <c r="D24" s="6">
        <v>0</v>
      </c>
      <c r="E24" s="6">
        <v>1</v>
      </c>
      <c r="F24" s="6">
        <f t="shared" si="0"/>
        <v>0</v>
      </c>
      <c r="G24" s="6" t="str">
        <f t="shared" si="1"/>
        <v>SALAH</v>
      </c>
    </row>
    <row r="25" spans="1:7" x14ac:dyDescent="0.35">
      <c r="A25" s="6">
        <v>42</v>
      </c>
      <c r="B25" s="6">
        <v>2.72</v>
      </c>
      <c r="C25" s="6">
        <v>67</v>
      </c>
      <c r="D25" s="6">
        <v>1</v>
      </c>
      <c r="E25" s="6">
        <v>0</v>
      </c>
      <c r="F25" s="6">
        <f t="shared" si="0"/>
        <v>1</v>
      </c>
      <c r="G25" s="6" t="str">
        <f t="shared" si="1"/>
        <v>SALAH</v>
      </c>
    </row>
    <row r="26" spans="1:7" x14ac:dyDescent="0.35">
      <c r="A26" s="6">
        <v>16</v>
      </c>
      <c r="B26" s="6">
        <v>3.25</v>
      </c>
      <c r="C26" s="6">
        <v>82</v>
      </c>
      <c r="D26" s="6">
        <v>0</v>
      </c>
      <c r="E26" s="6">
        <v>1</v>
      </c>
      <c r="F26" s="6">
        <f t="shared" si="0"/>
        <v>0</v>
      </c>
      <c r="G26" s="6" t="str">
        <f t="shared" si="1"/>
        <v>SALAH</v>
      </c>
    </row>
    <row r="27" spans="1:7" x14ac:dyDescent="0.35">
      <c r="A27" s="6">
        <v>3</v>
      </c>
      <c r="B27" s="6">
        <v>3.2</v>
      </c>
      <c r="C27" s="6">
        <v>85</v>
      </c>
      <c r="D27" s="6">
        <v>0</v>
      </c>
      <c r="E27" s="6">
        <v>1</v>
      </c>
      <c r="F27" s="6">
        <f t="shared" si="0"/>
        <v>0</v>
      </c>
      <c r="G27" s="6" t="str">
        <f t="shared" si="1"/>
        <v>SALAH</v>
      </c>
    </row>
    <row r="28" spans="1:7" x14ac:dyDescent="0.35">
      <c r="A28" s="6">
        <v>1</v>
      </c>
      <c r="B28" s="6">
        <v>3.5</v>
      </c>
      <c r="C28" s="6">
        <v>90</v>
      </c>
      <c r="D28" s="6">
        <v>0</v>
      </c>
      <c r="E28" s="6">
        <v>1</v>
      </c>
      <c r="F28" s="6">
        <f t="shared" si="0"/>
        <v>0</v>
      </c>
      <c r="G28" s="6" t="str">
        <f t="shared" si="1"/>
        <v>SALAH</v>
      </c>
    </row>
    <row r="29" spans="1:7" x14ac:dyDescent="0.35">
      <c r="A29" s="6">
        <v>11</v>
      </c>
      <c r="B29" s="6">
        <v>2.7</v>
      </c>
      <c r="C29" s="6">
        <v>65</v>
      </c>
      <c r="D29" s="6">
        <v>1</v>
      </c>
      <c r="E29" s="6">
        <v>0</v>
      </c>
      <c r="F29" s="6">
        <f t="shared" si="0"/>
        <v>1</v>
      </c>
      <c r="G29" s="6" t="str">
        <f t="shared" si="1"/>
        <v>SALAH</v>
      </c>
    </row>
    <row r="30" spans="1:7" x14ac:dyDescent="0.35">
      <c r="A30" s="6">
        <v>27</v>
      </c>
      <c r="B30" s="6">
        <v>2.75</v>
      </c>
      <c r="C30" s="6">
        <v>68</v>
      </c>
      <c r="D30" s="6">
        <v>1</v>
      </c>
      <c r="E30" s="6">
        <v>0</v>
      </c>
      <c r="F30" s="6">
        <f t="shared" si="0"/>
        <v>1</v>
      </c>
      <c r="G30" s="6" t="str">
        <f t="shared" si="1"/>
        <v>SALAH</v>
      </c>
    </row>
    <row r="31" spans="1:7" x14ac:dyDescent="0.35">
      <c r="A31" s="6">
        <v>32</v>
      </c>
      <c r="B31" s="6">
        <v>3.12</v>
      </c>
      <c r="C31" s="6">
        <v>79</v>
      </c>
      <c r="D31" s="6">
        <v>1</v>
      </c>
      <c r="E31" s="6">
        <v>1</v>
      </c>
      <c r="F31" s="6">
        <f t="shared" si="0"/>
        <v>1</v>
      </c>
      <c r="G31" s="6" t="str">
        <f t="shared" si="1"/>
        <v>BENAR</v>
      </c>
    </row>
    <row r="32" spans="1:7" x14ac:dyDescent="0.35">
      <c r="A32" s="6">
        <v>50</v>
      </c>
      <c r="B32" s="6">
        <v>2.98</v>
      </c>
      <c r="C32" s="6">
        <v>74</v>
      </c>
      <c r="D32" s="6">
        <v>1</v>
      </c>
      <c r="E32" s="6">
        <v>0</v>
      </c>
      <c r="F32" s="6">
        <f t="shared" si="0"/>
        <v>1</v>
      </c>
      <c r="G32" s="6" t="str">
        <f t="shared" si="1"/>
        <v>SALAH</v>
      </c>
    </row>
    <row r="33" spans="1:7" x14ac:dyDescent="0.35">
      <c r="A33" s="6">
        <v>44</v>
      </c>
      <c r="B33" s="6">
        <v>3.48</v>
      </c>
      <c r="C33" s="6">
        <v>92</v>
      </c>
      <c r="D33" s="6">
        <v>0</v>
      </c>
      <c r="E33" s="6">
        <v>1</v>
      </c>
      <c r="F33" s="6">
        <f t="shared" si="0"/>
        <v>0</v>
      </c>
      <c r="G33" s="6" t="str">
        <f t="shared" si="1"/>
        <v>SALAH</v>
      </c>
    </row>
    <row r="34" spans="1:7" x14ac:dyDescent="0.35">
      <c r="A34" s="6">
        <v>7</v>
      </c>
      <c r="B34" s="6">
        <v>3.1</v>
      </c>
      <c r="C34" s="6">
        <v>80</v>
      </c>
      <c r="D34" s="6">
        <v>1</v>
      </c>
      <c r="E34" s="6">
        <v>1</v>
      </c>
      <c r="F34" s="6">
        <f t="shared" si="0"/>
        <v>1</v>
      </c>
      <c r="G34" s="6" t="str">
        <f t="shared" si="1"/>
        <v>BENAR</v>
      </c>
    </row>
    <row r="35" spans="1:7" x14ac:dyDescent="0.35">
      <c r="A35" s="6">
        <v>34</v>
      </c>
      <c r="B35" s="6">
        <v>2.88</v>
      </c>
      <c r="C35" s="6">
        <v>73</v>
      </c>
      <c r="D35" s="6">
        <v>1</v>
      </c>
      <c r="E35" s="6">
        <v>0</v>
      </c>
      <c r="F35" s="6">
        <f t="shared" si="0"/>
        <v>1</v>
      </c>
      <c r="G35" s="6" t="str">
        <f t="shared" si="1"/>
        <v>SALAH</v>
      </c>
    </row>
    <row r="36" spans="1:7" x14ac:dyDescent="0.35">
      <c r="A36" s="6">
        <v>23</v>
      </c>
      <c r="B36" s="6">
        <v>3.05</v>
      </c>
      <c r="C36" s="6">
        <v>80</v>
      </c>
      <c r="D36" s="6">
        <v>1</v>
      </c>
      <c r="E36" s="6">
        <v>1</v>
      </c>
      <c r="F36" s="6">
        <f t="shared" si="0"/>
        <v>1</v>
      </c>
      <c r="G36" s="6" t="str">
        <f t="shared" si="1"/>
        <v>BENAR</v>
      </c>
    </row>
    <row r="37" spans="1:7" x14ac:dyDescent="0.35">
      <c r="A37" s="6">
        <v>33</v>
      </c>
      <c r="B37" s="6">
        <v>3.42</v>
      </c>
      <c r="C37" s="6">
        <v>89</v>
      </c>
      <c r="D37" s="6">
        <v>0</v>
      </c>
      <c r="E37" s="6">
        <v>1</v>
      </c>
      <c r="F37" s="6">
        <f t="shared" si="0"/>
        <v>0</v>
      </c>
      <c r="G37" s="6" t="str">
        <f t="shared" si="1"/>
        <v>SALAH</v>
      </c>
    </row>
    <row r="38" spans="1:7" x14ac:dyDescent="0.35">
      <c r="A38" s="6">
        <v>48</v>
      </c>
      <c r="B38" s="6">
        <v>3.02</v>
      </c>
      <c r="C38" s="6">
        <v>79</v>
      </c>
      <c r="D38" s="6">
        <v>1</v>
      </c>
      <c r="E38" s="6">
        <v>1</v>
      </c>
      <c r="F38" s="6">
        <f t="shared" si="0"/>
        <v>1</v>
      </c>
      <c r="G38" s="6" t="str">
        <f t="shared" si="1"/>
        <v>BENAR</v>
      </c>
    </row>
    <row r="39" spans="1:7" x14ac:dyDescent="0.35">
      <c r="A39" s="6">
        <v>26</v>
      </c>
      <c r="B39" s="6">
        <v>3.55</v>
      </c>
      <c r="C39" s="6">
        <v>91</v>
      </c>
      <c r="D39" s="6">
        <v>0</v>
      </c>
      <c r="E39" s="6">
        <v>1</v>
      </c>
      <c r="F39" s="6">
        <f t="shared" si="0"/>
        <v>0</v>
      </c>
      <c r="G39" s="6" t="str">
        <f t="shared" si="1"/>
        <v>SALAH</v>
      </c>
    </row>
    <row r="40" spans="1:7" x14ac:dyDescent="0.35">
      <c r="A40" s="6">
        <v>8</v>
      </c>
      <c r="B40" s="6">
        <v>3.4</v>
      </c>
      <c r="C40" s="6">
        <v>88</v>
      </c>
      <c r="D40" s="6">
        <v>0</v>
      </c>
      <c r="E40" s="6">
        <v>1</v>
      </c>
      <c r="F40" s="6">
        <f t="shared" si="0"/>
        <v>0</v>
      </c>
      <c r="G40" s="6" t="str">
        <f t="shared" si="1"/>
        <v>SALAH</v>
      </c>
    </row>
    <row r="41" spans="1:7" x14ac:dyDescent="0.35">
      <c r="A41" s="6">
        <v>9</v>
      </c>
      <c r="B41" s="6">
        <v>3.1377083333333329</v>
      </c>
      <c r="C41" s="6">
        <v>75</v>
      </c>
      <c r="D41" s="6">
        <v>1</v>
      </c>
      <c r="E41" s="6">
        <v>0</v>
      </c>
      <c r="F41" s="6">
        <f t="shared" si="0"/>
        <v>1</v>
      </c>
      <c r="G41" s="6" t="str">
        <f t="shared" si="1"/>
        <v>SALAH</v>
      </c>
    </row>
    <row r="42" spans="1:7" x14ac:dyDescent="0.35">
      <c r="A42" s="6">
        <v>10</v>
      </c>
      <c r="B42" s="6">
        <v>3.6</v>
      </c>
      <c r="C42" s="6">
        <v>92</v>
      </c>
      <c r="D42" s="6">
        <v>0</v>
      </c>
      <c r="E42" s="6">
        <v>1</v>
      </c>
      <c r="F42" s="6">
        <f t="shared" si="0"/>
        <v>0</v>
      </c>
      <c r="G42" s="6" t="str">
        <f t="shared" si="1"/>
        <v>SALAH</v>
      </c>
    </row>
    <row r="43" spans="1:7" x14ac:dyDescent="0.35">
      <c r="A43" s="6">
        <v>43</v>
      </c>
      <c r="B43" s="6">
        <v>3.18</v>
      </c>
      <c r="C43" s="6">
        <v>79.6875</v>
      </c>
      <c r="D43" s="6">
        <v>1</v>
      </c>
      <c r="E43" s="6">
        <v>1</v>
      </c>
      <c r="F43" s="6">
        <f t="shared" si="0"/>
        <v>1</v>
      </c>
      <c r="G43" s="6" t="str">
        <f t="shared" si="1"/>
        <v>BENAR</v>
      </c>
    </row>
    <row r="44" spans="1:7" x14ac:dyDescent="0.35">
      <c r="A44" s="6">
        <v>28</v>
      </c>
      <c r="B44" s="6">
        <v>3.28</v>
      </c>
      <c r="C44" s="6">
        <v>84</v>
      </c>
      <c r="D44" s="6">
        <v>0</v>
      </c>
      <c r="E44" s="6">
        <v>1</v>
      </c>
      <c r="F44" s="6">
        <f t="shared" si="0"/>
        <v>0</v>
      </c>
      <c r="G44" s="6" t="str">
        <f t="shared" si="1"/>
        <v>SALAH</v>
      </c>
    </row>
    <row r="45" spans="1:7" x14ac:dyDescent="0.35">
      <c r="A45" s="6">
        <v>37</v>
      </c>
      <c r="B45" s="6">
        <v>3.08</v>
      </c>
      <c r="C45" s="6">
        <v>81</v>
      </c>
      <c r="D45" s="6">
        <v>1</v>
      </c>
      <c r="E45" s="6">
        <v>1</v>
      </c>
      <c r="F45" s="6">
        <f t="shared" si="0"/>
        <v>1</v>
      </c>
      <c r="G45" s="6" t="str">
        <f t="shared" si="1"/>
        <v>BENAR</v>
      </c>
    </row>
    <row r="46" spans="1:7" x14ac:dyDescent="0.35">
      <c r="A46" s="6">
        <v>17</v>
      </c>
      <c r="B46" s="6">
        <v>2.65</v>
      </c>
      <c r="C46" s="6">
        <v>70</v>
      </c>
      <c r="D46" s="6">
        <v>1</v>
      </c>
      <c r="E46" s="6">
        <v>0</v>
      </c>
      <c r="F46" s="6">
        <f t="shared" si="0"/>
        <v>1</v>
      </c>
      <c r="G46" s="6" t="str">
        <f t="shared" si="1"/>
        <v>SALAH</v>
      </c>
    </row>
    <row r="47" spans="1:7" x14ac:dyDescent="0.35">
      <c r="A47" s="6">
        <v>25</v>
      </c>
      <c r="B47" s="6">
        <v>2.95</v>
      </c>
      <c r="C47" s="6">
        <v>74</v>
      </c>
      <c r="D47" s="6">
        <v>1</v>
      </c>
      <c r="E47" s="6">
        <v>0</v>
      </c>
      <c r="F47" s="6">
        <f t="shared" si="0"/>
        <v>1</v>
      </c>
      <c r="G47" s="6" t="str">
        <f t="shared" si="1"/>
        <v>SALAH</v>
      </c>
    </row>
    <row r="48" spans="1:7" x14ac:dyDescent="0.35">
      <c r="A48" s="6">
        <v>18</v>
      </c>
      <c r="B48" s="6">
        <v>3.15</v>
      </c>
      <c r="C48" s="6">
        <v>78</v>
      </c>
      <c r="D48" s="6">
        <v>1</v>
      </c>
      <c r="E48" s="6">
        <v>1</v>
      </c>
      <c r="F48" s="6">
        <f t="shared" si="0"/>
        <v>1</v>
      </c>
      <c r="G48" s="6" t="str">
        <f t="shared" si="1"/>
        <v>BENAR</v>
      </c>
    </row>
    <row r="49" spans="1:7" x14ac:dyDescent="0.35">
      <c r="A49" s="6">
        <v>14</v>
      </c>
      <c r="B49" s="6">
        <v>2.4</v>
      </c>
      <c r="C49" s="6">
        <v>55</v>
      </c>
      <c r="D49" s="6">
        <v>1</v>
      </c>
      <c r="E49" s="6">
        <v>0</v>
      </c>
      <c r="F49" s="6">
        <f t="shared" si="0"/>
        <v>1</v>
      </c>
      <c r="G49" s="6" t="str">
        <f t="shared" si="1"/>
        <v>SALAH</v>
      </c>
    </row>
    <row r="50" spans="1:7" x14ac:dyDescent="0.35">
      <c r="A50" s="6">
        <v>22</v>
      </c>
      <c r="B50" s="6">
        <v>2.5499999999999998</v>
      </c>
      <c r="C50" s="6">
        <v>62</v>
      </c>
      <c r="D50" s="6">
        <v>1</v>
      </c>
      <c r="E50" s="6">
        <v>0</v>
      </c>
      <c r="F50" s="6">
        <f t="shared" si="0"/>
        <v>1</v>
      </c>
      <c r="G50" s="6" t="str">
        <f t="shared" si="1"/>
        <v>SALAH</v>
      </c>
    </row>
    <row r="51" spans="1:7" x14ac:dyDescent="0.35">
      <c r="A51" s="6">
        <v>36</v>
      </c>
      <c r="B51" s="6">
        <v>2.6</v>
      </c>
      <c r="C51" s="6">
        <v>63</v>
      </c>
      <c r="D51" s="6">
        <v>1</v>
      </c>
      <c r="E51" s="6">
        <v>0</v>
      </c>
      <c r="F51" s="6">
        <f t="shared" si="0"/>
        <v>1</v>
      </c>
      <c r="G51" s="6" t="str">
        <f t="shared" si="1"/>
        <v>SALAH</v>
      </c>
    </row>
  </sheetData>
  <sortState ref="A2:F51">
    <sortCondition ref="F2:F5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>
      <selection activeCell="D6" sqref="A1:G51"/>
    </sheetView>
  </sheetViews>
  <sheetFormatPr defaultRowHeight="14.5" x14ac:dyDescent="0.35"/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14</v>
      </c>
      <c r="G1" s="5" t="s">
        <v>15</v>
      </c>
    </row>
    <row r="2" spans="1:7" x14ac:dyDescent="0.35">
      <c r="A2" s="6">
        <v>4</v>
      </c>
      <c r="B2" s="6">
        <v>2.5</v>
      </c>
      <c r="C2" s="6">
        <v>60</v>
      </c>
      <c r="D2" s="6">
        <v>1</v>
      </c>
      <c r="E2" s="6">
        <v>0</v>
      </c>
      <c r="F2" s="6">
        <f>IF(B2&gt;=3.4, 1, 0)</f>
        <v>0</v>
      </c>
      <c r="G2" s="6" t="str">
        <f>IF(F2=E2, "BENAR", "SALAH")</f>
        <v>BENAR</v>
      </c>
    </row>
    <row r="3" spans="1:7" x14ac:dyDescent="0.35">
      <c r="A3" s="6">
        <v>39</v>
      </c>
      <c r="B3" s="6">
        <v>2.92</v>
      </c>
      <c r="C3" s="6">
        <v>71</v>
      </c>
      <c r="D3" s="6">
        <v>1</v>
      </c>
      <c r="E3" s="6">
        <v>0</v>
      </c>
      <c r="F3" s="6">
        <f t="shared" ref="F3:F51" si="0">IF(B3&gt;=3.4, 1, 0)</f>
        <v>0</v>
      </c>
      <c r="G3" s="6" t="str">
        <f t="shared" ref="G3:G51" si="1">IF(F3=E3, "BENAR", "SALAH")</f>
        <v>BENAR</v>
      </c>
    </row>
    <row r="4" spans="1:7" x14ac:dyDescent="0.35">
      <c r="A4" s="6">
        <v>44</v>
      </c>
      <c r="B4" s="6">
        <v>3.48</v>
      </c>
      <c r="C4" s="6">
        <v>92</v>
      </c>
      <c r="D4" s="6">
        <v>0</v>
      </c>
      <c r="E4" s="6">
        <v>1</v>
      </c>
      <c r="F4" s="6">
        <f t="shared" si="0"/>
        <v>1</v>
      </c>
      <c r="G4" s="6" t="str">
        <f t="shared" si="1"/>
        <v>BENAR</v>
      </c>
    </row>
    <row r="5" spans="1:7" x14ac:dyDescent="0.35">
      <c r="A5" s="6">
        <v>16</v>
      </c>
      <c r="B5" s="6">
        <v>3.25</v>
      </c>
      <c r="C5" s="6">
        <v>82</v>
      </c>
      <c r="D5" s="6">
        <v>0</v>
      </c>
      <c r="E5" s="6">
        <v>1</v>
      </c>
      <c r="F5" s="6">
        <f t="shared" si="0"/>
        <v>0</v>
      </c>
      <c r="G5" s="6" t="str">
        <f t="shared" si="1"/>
        <v>SALAH</v>
      </c>
    </row>
    <row r="6" spans="1:7" x14ac:dyDescent="0.35">
      <c r="A6" s="6">
        <v>40</v>
      </c>
      <c r="B6" s="6">
        <v>3.85</v>
      </c>
      <c r="C6" s="6">
        <v>98</v>
      </c>
      <c r="D6" s="6">
        <v>0</v>
      </c>
      <c r="E6" s="6">
        <v>1</v>
      </c>
      <c r="F6" s="6">
        <f t="shared" si="0"/>
        <v>1</v>
      </c>
      <c r="G6" s="6" t="str">
        <f t="shared" si="1"/>
        <v>BENAR</v>
      </c>
    </row>
    <row r="7" spans="1:7" x14ac:dyDescent="0.35">
      <c r="A7" s="6">
        <v>34</v>
      </c>
      <c r="B7" s="6">
        <v>2.88</v>
      </c>
      <c r="C7" s="6">
        <v>73</v>
      </c>
      <c r="D7" s="6">
        <v>1</v>
      </c>
      <c r="E7" s="6">
        <v>0</v>
      </c>
      <c r="F7" s="6">
        <f t="shared" si="0"/>
        <v>0</v>
      </c>
      <c r="G7" s="6" t="str">
        <f t="shared" si="1"/>
        <v>BENAR</v>
      </c>
    </row>
    <row r="8" spans="1:7" x14ac:dyDescent="0.35">
      <c r="A8" s="6">
        <v>42</v>
      </c>
      <c r="B8" s="6">
        <v>2.72</v>
      </c>
      <c r="C8" s="6">
        <v>67</v>
      </c>
      <c r="D8" s="6">
        <v>1</v>
      </c>
      <c r="E8" s="6">
        <v>0</v>
      </c>
      <c r="F8" s="6">
        <f t="shared" si="0"/>
        <v>0</v>
      </c>
      <c r="G8" s="6" t="str">
        <f t="shared" si="1"/>
        <v>BENAR</v>
      </c>
    </row>
    <row r="9" spans="1:7" x14ac:dyDescent="0.35">
      <c r="A9" s="6">
        <v>2</v>
      </c>
      <c r="B9" s="6">
        <v>2.8</v>
      </c>
      <c r="C9" s="6">
        <v>75</v>
      </c>
      <c r="D9" s="6">
        <v>1</v>
      </c>
      <c r="E9" s="6">
        <v>0</v>
      </c>
      <c r="F9" s="6">
        <f t="shared" si="0"/>
        <v>0</v>
      </c>
      <c r="G9" s="6" t="str">
        <f t="shared" si="1"/>
        <v>BENAR</v>
      </c>
    </row>
    <row r="10" spans="1:7" x14ac:dyDescent="0.35">
      <c r="A10" s="6">
        <v>18</v>
      </c>
      <c r="B10" s="6">
        <v>3.15</v>
      </c>
      <c r="C10" s="6">
        <v>78</v>
      </c>
      <c r="D10" s="6">
        <v>1</v>
      </c>
      <c r="E10" s="6">
        <v>1</v>
      </c>
      <c r="F10" s="6">
        <f t="shared" si="0"/>
        <v>0</v>
      </c>
      <c r="G10" s="6" t="str">
        <f t="shared" si="1"/>
        <v>SALAH</v>
      </c>
    </row>
    <row r="11" spans="1:7" x14ac:dyDescent="0.35">
      <c r="A11" s="6">
        <v>30</v>
      </c>
      <c r="B11" s="6">
        <v>3.65</v>
      </c>
      <c r="C11" s="6">
        <v>93</v>
      </c>
      <c r="D11" s="6">
        <v>0</v>
      </c>
      <c r="E11" s="6">
        <v>1</v>
      </c>
      <c r="F11" s="6">
        <f t="shared" si="0"/>
        <v>1</v>
      </c>
      <c r="G11" s="6" t="str">
        <f t="shared" si="1"/>
        <v>BENAR</v>
      </c>
    </row>
    <row r="12" spans="1:7" x14ac:dyDescent="0.35">
      <c r="A12" s="6">
        <v>21</v>
      </c>
      <c r="B12" s="6">
        <v>3.7</v>
      </c>
      <c r="C12" s="6">
        <v>94</v>
      </c>
      <c r="D12" s="6">
        <v>0</v>
      </c>
      <c r="E12" s="6">
        <v>1</v>
      </c>
      <c r="F12" s="6">
        <f t="shared" si="0"/>
        <v>1</v>
      </c>
      <c r="G12" s="6" t="str">
        <f t="shared" si="1"/>
        <v>BENAR</v>
      </c>
    </row>
    <row r="13" spans="1:7" x14ac:dyDescent="0.35">
      <c r="A13" s="6">
        <v>14</v>
      </c>
      <c r="B13" s="6">
        <v>2.4</v>
      </c>
      <c r="C13" s="6">
        <v>55</v>
      </c>
      <c r="D13" s="6">
        <v>1</v>
      </c>
      <c r="E13" s="6">
        <v>0</v>
      </c>
      <c r="F13" s="6">
        <f t="shared" si="0"/>
        <v>0</v>
      </c>
      <c r="G13" s="6" t="str">
        <f t="shared" si="1"/>
        <v>BENAR</v>
      </c>
    </row>
    <row r="14" spans="1:7" x14ac:dyDescent="0.35">
      <c r="A14" s="6">
        <v>35</v>
      </c>
      <c r="B14" s="6">
        <v>3.75</v>
      </c>
      <c r="C14" s="6">
        <v>96</v>
      </c>
      <c r="D14" s="6">
        <v>0</v>
      </c>
      <c r="E14" s="6">
        <v>1</v>
      </c>
      <c r="F14" s="6">
        <f t="shared" si="0"/>
        <v>1</v>
      </c>
      <c r="G14" s="6" t="str">
        <f t="shared" si="1"/>
        <v>BENAR</v>
      </c>
    </row>
    <row r="15" spans="1:7" x14ac:dyDescent="0.35">
      <c r="A15" s="6">
        <v>20</v>
      </c>
      <c r="B15" s="6">
        <v>2.85</v>
      </c>
      <c r="C15" s="6">
        <v>72</v>
      </c>
      <c r="D15" s="6">
        <v>1</v>
      </c>
      <c r="E15" s="6">
        <v>0</v>
      </c>
      <c r="F15" s="6">
        <f t="shared" si="0"/>
        <v>0</v>
      </c>
      <c r="G15" s="6" t="str">
        <f t="shared" si="1"/>
        <v>BENAR</v>
      </c>
    </row>
    <row r="16" spans="1:7" x14ac:dyDescent="0.35">
      <c r="A16" s="6">
        <v>50</v>
      </c>
      <c r="B16" s="6">
        <v>2.98</v>
      </c>
      <c r="C16" s="6">
        <v>74</v>
      </c>
      <c r="D16" s="6">
        <v>1</v>
      </c>
      <c r="E16" s="6">
        <v>0</v>
      </c>
      <c r="F16" s="6">
        <f t="shared" si="0"/>
        <v>0</v>
      </c>
      <c r="G16" s="6" t="str">
        <f t="shared" si="1"/>
        <v>BENAR</v>
      </c>
    </row>
    <row r="17" spans="1:7" x14ac:dyDescent="0.35">
      <c r="A17" s="6">
        <v>25</v>
      </c>
      <c r="B17" s="6">
        <v>2.95</v>
      </c>
      <c r="C17" s="6">
        <v>74</v>
      </c>
      <c r="D17" s="6">
        <v>1</v>
      </c>
      <c r="E17" s="6">
        <v>0</v>
      </c>
      <c r="F17" s="6">
        <f t="shared" si="0"/>
        <v>0</v>
      </c>
      <c r="G17" s="6" t="str">
        <f t="shared" si="1"/>
        <v>BENAR</v>
      </c>
    </row>
    <row r="18" spans="1:7" x14ac:dyDescent="0.35">
      <c r="A18" s="6">
        <v>41</v>
      </c>
      <c r="B18" s="6">
        <v>3.22</v>
      </c>
      <c r="C18" s="6">
        <v>83</v>
      </c>
      <c r="D18" s="6">
        <v>0</v>
      </c>
      <c r="E18" s="6">
        <v>1</v>
      </c>
      <c r="F18" s="6">
        <f t="shared" si="0"/>
        <v>0</v>
      </c>
      <c r="G18" s="6" t="str">
        <f t="shared" si="1"/>
        <v>SALAH</v>
      </c>
    </row>
    <row r="19" spans="1:7" x14ac:dyDescent="0.35">
      <c r="A19" s="6">
        <v>13</v>
      </c>
      <c r="B19" s="6">
        <v>3</v>
      </c>
      <c r="C19" s="6">
        <v>79.6875</v>
      </c>
      <c r="D19" s="6">
        <v>1</v>
      </c>
      <c r="E19" s="6">
        <v>1</v>
      </c>
      <c r="F19" s="6">
        <f t="shared" si="0"/>
        <v>0</v>
      </c>
      <c r="G19" s="6" t="str">
        <f t="shared" si="1"/>
        <v>SALAH</v>
      </c>
    </row>
    <row r="20" spans="1:7" x14ac:dyDescent="0.35">
      <c r="A20" s="6">
        <v>26</v>
      </c>
      <c r="B20" s="6">
        <v>3.55</v>
      </c>
      <c r="C20" s="6">
        <v>91</v>
      </c>
      <c r="D20" s="6">
        <v>0</v>
      </c>
      <c r="E20" s="6">
        <v>1</v>
      </c>
      <c r="F20" s="6">
        <f t="shared" si="0"/>
        <v>1</v>
      </c>
      <c r="G20" s="6" t="str">
        <f t="shared" si="1"/>
        <v>BENAR</v>
      </c>
    </row>
    <row r="21" spans="1:7" x14ac:dyDescent="0.35">
      <c r="A21" s="6">
        <v>22</v>
      </c>
      <c r="B21" s="6">
        <v>2.5499999999999998</v>
      </c>
      <c r="C21" s="6">
        <v>62</v>
      </c>
      <c r="D21" s="6">
        <v>1</v>
      </c>
      <c r="E21" s="6">
        <v>0</v>
      </c>
      <c r="F21" s="6">
        <f t="shared" si="0"/>
        <v>0</v>
      </c>
      <c r="G21" s="6" t="str">
        <f t="shared" si="1"/>
        <v>BENAR</v>
      </c>
    </row>
    <row r="22" spans="1:7" x14ac:dyDescent="0.35">
      <c r="A22" s="6">
        <v>49</v>
      </c>
      <c r="B22" s="6">
        <v>3.32</v>
      </c>
      <c r="C22" s="6">
        <v>84</v>
      </c>
      <c r="D22" s="6">
        <v>0</v>
      </c>
      <c r="E22" s="6">
        <v>1</v>
      </c>
      <c r="F22" s="6">
        <f t="shared" si="0"/>
        <v>0</v>
      </c>
      <c r="G22" s="6" t="str">
        <f t="shared" si="1"/>
        <v>SALAH</v>
      </c>
    </row>
    <row r="23" spans="1:7" x14ac:dyDescent="0.35">
      <c r="A23" s="6">
        <v>29</v>
      </c>
      <c r="B23" s="6">
        <v>3.1377083333333329</v>
      </c>
      <c r="C23" s="6">
        <v>80</v>
      </c>
      <c r="D23" s="6">
        <v>1</v>
      </c>
      <c r="E23" s="6">
        <v>1</v>
      </c>
      <c r="F23" s="6">
        <f t="shared" si="0"/>
        <v>0</v>
      </c>
      <c r="G23" s="6" t="str">
        <f t="shared" si="1"/>
        <v>SALAH</v>
      </c>
    </row>
    <row r="24" spans="1:7" x14ac:dyDescent="0.35">
      <c r="A24" s="6">
        <v>47</v>
      </c>
      <c r="B24" s="6">
        <v>2.52</v>
      </c>
      <c r="C24" s="6">
        <v>61</v>
      </c>
      <c r="D24" s="6">
        <v>1</v>
      </c>
      <c r="E24" s="6">
        <v>0</v>
      </c>
      <c r="F24" s="6">
        <f t="shared" si="0"/>
        <v>0</v>
      </c>
      <c r="G24" s="6" t="str">
        <f t="shared" si="1"/>
        <v>BENAR</v>
      </c>
    </row>
    <row r="25" spans="1:7" x14ac:dyDescent="0.35">
      <c r="A25" s="6">
        <v>3</v>
      </c>
      <c r="B25" s="6">
        <v>3.2</v>
      </c>
      <c r="C25" s="6">
        <v>85</v>
      </c>
      <c r="D25" s="6">
        <v>0</v>
      </c>
      <c r="E25" s="6">
        <v>1</v>
      </c>
      <c r="F25" s="6">
        <f t="shared" si="0"/>
        <v>0</v>
      </c>
      <c r="G25" s="6" t="str">
        <f t="shared" si="1"/>
        <v>SALAH</v>
      </c>
    </row>
    <row r="26" spans="1:7" x14ac:dyDescent="0.35">
      <c r="A26" s="6">
        <v>15</v>
      </c>
      <c r="B26" s="6">
        <v>3.9</v>
      </c>
      <c r="C26" s="6">
        <v>100</v>
      </c>
      <c r="D26" s="6">
        <v>0</v>
      </c>
      <c r="E26" s="6">
        <v>1</v>
      </c>
      <c r="F26" s="6">
        <f t="shared" si="0"/>
        <v>1</v>
      </c>
      <c r="G26" s="6" t="str">
        <f t="shared" si="1"/>
        <v>BENAR</v>
      </c>
    </row>
    <row r="27" spans="1:7" x14ac:dyDescent="0.35">
      <c r="A27" s="6">
        <v>11</v>
      </c>
      <c r="B27" s="6">
        <v>2.7</v>
      </c>
      <c r="C27" s="6">
        <v>65</v>
      </c>
      <c r="D27" s="6">
        <v>1</v>
      </c>
      <c r="E27" s="6">
        <v>0</v>
      </c>
      <c r="F27" s="6">
        <f t="shared" si="0"/>
        <v>0</v>
      </c>
      <c r="G27" s="6" t="str">
        <f t="shared" si="1"/>
        <v>BENAR</v>
      </c>
    </row>
    <row r="28" spans="1:7" x14ac:dyDescent="0.35">
      <c r="A28" s="6">
        <v>46</v>
      </c>
      <c r="B28" s="6">
        <v>3.62</v>
      </c>
      <c r="C28" s="6">
        <v>95</v>
      </c>
      <c r="D28" s="6">
        <v>0</v>
      </c>
      <c r="E28" s="6">
        <v>1</v>
      </c>
      <c r="F28" s="6">
        <f t="shared" si="0"/>
        <v>1</v>
      </c>
      <c r="G28" s="6" t="str">
        <f t="shared" si="1"/>
        <v>BENAR</v>
      </c>
    </row>
    <row r="29" spans="1:7" x14ac:dyDescent="0.35">
      <c r="A29" s="6">
        <v>10</v>
      </c>
      <c r="B29" s="6">
        <v>3.6</v>
      </c>
      <c r="C29" s="6">
        <v>92</v>
      </c>
      <c r="D29" s="6">
        <v>0</v>
      </c>
      <c r="E29" s="6">
        <v>1</v>
      </c>
      <c r="F29" s="6">
        <f t="shared" si="0"/>
        <v>1</v>
      </c>
      <c r="G29" s="6" t="str">
        <f t="shared" si="1"/>
        <v>BENAR</v>
      </c>
    </row>
    <row r="30" spans="1:7" x14ac:dyDescent="0.35">
      <c r="A30" s="6">
        <v>23</v>
      </c>
      <c r="B30" s="6">
        <v>3.05</v>
      </c>
      <c r="C30" s="6">
        <v>80</v>
      </c>
      <c r="D30" s="6">
        <v>1</v>
      </c>
      <c r="E30" s="6">
        <v>1</v>
      </c>
      <c r="F30" s="6">
        <f t="shared" si="0"/>
        <v>0</v>
      </c>
      <c r="G30" s="6" t="str">
        <f t="shared" si="1"/>
        <v>SALAH</v>
      </c>
    </row>
    <row r="31" spans="1:7" x14ac:dyDescent="0.35">
      <c r="A31" s="6">
        <v>31</v>
      </c>
      <c r="B31" s="6">
        <v>2.4500000000000002</v>
      </c>
      <c r="C31" s="6">
        <v>58</v>
      </c>
      <c r="D31" s="6">
        <v>1</v>
      </c>
      <c r="E31" s="6">
        <v>0</v>
      </c>
      <c r="F31" s="6">
        <f t="shared" si="0"/>
        <v>0</v>
      </c>
      <c r="G31" s="6" t="str">
        <f t="shared" si="1"/>
        <v>BENAR</v>
      </c>
    </row>
    <row r="32" spans="1:7" x14ac:dyDescent="0.35">
      <c r="A32" s="6">
        <v>7</v>
      </c>
      <c r="B32" s="6">
        <v>3.1</v>
      </c>
      <c r="C32" s="6">
        <v>80</v>
      </c>
      <c r="D32" s="6">
        <v>1</v>
      </c>
      <c r="E32" s="6">
        <v>1</v>
      </c>
      <c r="F32" s="6">
        <f t="shared" si="0"/>
        <v>0</v>
      </c>
      <c r="G32" s="6" t="str">
        <f t="shared" si="1"/>
        <v>SALAH</v>
      </c>
    </row>
    <row r="33" spans="1:7" x14ac:dyDescent="0.35">
      <c r="A33" s="6">
        <v>37</v>
      </c>
      <c r="B33" s="6">
        <v>3.08</v>
      </c>
      <c r="C33" s="6">
        <v>81</v>
      </c>
      <c r="D33" s="6">
        <v>1</v>
      </c>
      <c r="E33" s="6">
        <v>1</v>
      </c>
      <c r="F33" s="6">
        <f t="shared" si="0"/>
        <v>0</v>
      </c>
      <c r="G33" s="6" t="str">
        <f t="shared" si="1"/>
        <v>SALAH</v>
      </c>
    </row>
    <row r="34" spans="1:7" x14ac:dyDescent="0.35">
      <c r="A34" s="6">
        <v>6</v>
      </c>
      <c r="B34" s="6">
        <v>2.9</v>
      </c>
      <c r="C34" s="6">
        <v>70</v>
      </c>
      <c r="D34" s="6">
        <v>1</v>
      </c>
      <c r="E34" s="6">
        <v>0</v>
      </c>
      <c r="F34" s="6">
        <f t="shared" si="0"/>
        <v>0</v>
      </c>
      <c r="G34" s="6" t="str">
        <f t="shared" si="1"/>
        <v>BENAR</v>
      </c>
    </row>
    <row r="35" spans="1:7" x14ac:dyDescent="0.35">
      <c r="A35" s="6">
        <v>27</v>
      </c>
      <c r="B35" s="6">
        <v>2.75</v>
      </c>
      <c r="C35" s="6">
        <v>68</v>
      </c>
      <c r="D35" s="6">
        <v>1</v>
      </c>
      <c r="E35" s="6">
        <v>0</v>
      </c>
      <c r="F35" s="6">
        <f t="shared" si="0"/>
        <v>0</v>
      </c>
      <c r="G35" s="6" t="str">
        <f t="shared" si="1"/>
        <v>BENAR</v>
      </c>
    </row>
    <row r="36" spans="1:7" x14ac:dyDescent="0.35">
      <c r="A36" s="6">
        <v>32</v>
      </c>
      <c r="B36" s="6">
        <v>3.12</v>
      </c>
      <c r="C36" s="6">
        <v>79</v>
      </c>
      <c r="D36" s="6">
        <v>1</v>
      </c>
      <c r="E36" s="6">
        <v>1</v>
      </c>
      <c r="F36" s="6">
        <f t="shared" si="0"/>
        <v>0</v>
      </c>
      <c r="G36" s="6" t="str">
        <f t="shared" si="1"/>
        <v>SALAH</v>
      </c>
    </row>
    <row r="37" spans="1:7" x14ac:dyDescent="0.35">
      <c r="A37" s="6">
        <v>12</v>
      </c>
      <c r="B37" s="6">
        <v>3.3</v>
      </c>
      <c r="C37" s="6">
        <v>85</v>
      </c>
      <c r="D37" s="6">
        <v>0</v>
      </c>
      <c r="E37" s="6">
        <v>1</v>
      </c>
      <c r="F37" s="6">
        <f t="shared" si="0"/>
        <v>0</v>
      </c>
      <c r="G37" s="6" t="str">
        <f t="shared" si="1"/>
        <v>SALAH</v>
      </c>
    </row>
    <row r="38" spans="1:7" x14ac:dyDescent="0.35">
      <c r="A38" s="6">
        <v>48</v>
      </c>
      <c r="B38" s="6">
        <v>3.02</v>
      </c>
      <c r="C38" s="6">
        <v>79</v>
      </c>
      <c r="D38" s="6">
        <v>1</v>
      </c>
      <c r="E38" s="6">
        <v>1</v>
      </c>
      <c r="F38" s="6">
        <f t="shared" si="0"/>
        <v>0</v>
      </c>
      <c r="G38" s="6" t="str">
        <f t="shared" si="1"/>
        <v>SALAH</v>
      </c>
    </row>
    <row r="39" spans="1:7" x14ac:dyDescent="0.35">
      <c r="A39" s="6">
        <v>8</v>
      </c>
      <c r="B39" s="6">
        <v>3.4</v>
      </c>
      <c r="C39" s="6">
        <v>88</v>
      </c>
      <c r="D39" s="6">
        <v>0</v>
      </c>
      <c r="E39" s="6">
        <v>1</v>
      </c>
      <c r="F39" s="6">
        <f t="shared" si="0"/>
        <v>1</v>
      </c>
      <c r="G39" s="6" t="str">
        <f t="shared" si="1"/>
        <v>BENAR</v>
      </c>
    </row>
    <row r="40" spans="1:7" x14ac:dyDescent="0.35">
      <c r="A40" s="6">
        <v>9</v>
      </c>
      <c r="B40" s="6">
        <v>3.1377083333333329</v>
      </c>
      <c r="C40" s="6">
        <v>75</v>
      </c>
      <c r="D40" s="6">
        <v>1</v>
      </c>
      <c r="E40" s="6">
        <v>0</v>
      </c>
      <c r="F40" s="6">
        <f t="shared" si="0"/>
        <v>0</v>
      </c>
      <c r="G40" s="6" t="str">
        <f t="shared" si="1"/>
        <v>BENAR</v>
      </c>
    </row>
    <row r="41" spans="1:7" x14ac:dyDescent="0.35">
      <c r="A41" s="6">
        <v>36</v>
      </c>
      <c r="B41" s="6">
        <v>2.6</v>
      </c>
      <c r="C41" s="6">
        <v>63</v>
      </c>
      <c r="D41" s="6">
        <v>1</v>
      </c>
      <c r="E41" s="6">
        <v>0</v>
      </c>
      <c r="F41" s="6">
        <f t="shared" si="0"/>
        <v>0</v>
      </c>
      <c r="G41" s="6" t="str">
        <f t="shared" si="1"/>
        <v>BENAR</v>
      </c>
    </row>
    <row r="42" spans="1:7" x14ac:dyDescent="0.35">
      <c r="A42" s="6">
        <v>5</v>
      </c>
      <c r="B42" s="6">
        <v>3.8</v>
      </c>
      <c r="C42" s="6">
        <v>95</v>
      </c>
      <c r="D42" s="6">
        <v>0</v>
      </c>
      <c r="E42" s="6">
        <v>1</v>
      </c>
      <c r="F42" s="6">
        <f t="shared" si="0"/>
        <v>1</v>
      </c>
      <c r="G42" s="6" t="str">
        <f t="shared" si="1"/>
        <v>BENAR</v>
      </c>
    </row>
    <row r="43" spans="1:7" x14ac:dyDescent="0.35">
      <c r="A43" s="6">
        <v>19</v>
      </c>
      <c r="B43" s="6">
        <v>3.45</v>
      </c>
      <c r="C43" s="6">
        <v>90</v>
      </c>
      <c r="D43" s="6">
        <v>0</v>
      </c>
      <c r="E43" s="6">
        <v>1</v>
      </c>
      <c r="F43" s="6">
        <f t="shared" si="0"/>
        <v>1</v>
      </c>
      <c r="G43" s="6" t="str">
        <f t="shared" si="1"/>
        <v>BENAR</v>
      </c>
    </row>
    <row r="44" spans="1:7" x14ac:dyDescent="0.35">
      <c r="A44" s="6">
        <v>45</v>
      </c>
      <c r="B44" s="6">
        <v>2.82</v>
      </c>
      <c r="C44" s="6">
        <v>76</v>
      </c>
      <c r="D44" s="6">
        <v>1</v>
      </c>
      <c r="E44" s="6">
        <v>0</v>
      </c>
      <c r="F44" s="6">
        <f t="shared" si="0"/>
        <v>0</v>
      </c>
      <c r="G44" s="6" t="str">
        <f t="shared" si="1"/>
        <v>BENAR</v>
      </c>
    </row>
    <row r="45" spans="1:7" x14ac:dyDescent="0.35">
      <c r="A45" s="6">
        <v>38</v>
      </c>
      <c r="B45" s="6">
        <v>3.38</v>
      </c>
      <c r="C45" s="6">
        <v>86</v>
      </c>
      <c r="D45" s="6">
        <v>0</v>
      </c>
      <c r="E45" s="6">
        <v>1</v>
      </c>
      <c r="F45" s="6">
        <f t="shared" si="0"/>
        <v>0</v>
      </c>
      <c r="G45" s="6" t="str">
        <f t="shared" si="1"/>
        <v>SALAH</v>
      </c>
    </row>
    <row r="46" spans="1:7" x14ac:dyDescent="0.35">
      <c r="A46" s="6">
        <v>24</v>
      </c>
      <c r="B46" s="6">
        <v>3.35</v>
      </c>
      <c r="C46" s="6">
        <v>87</v>
      </c>
      <c r="D46" s="6">
        <v>0</v>
      </c>
      <c r="E46" s="6">
        <v>1</v>
      </c>
      <c r="F46" s="6">
        <f t="shared" si="0"/>
        <v>0</v>
      </c>
      <c r="G46" s="6" t="str">
        <f t="shared" si="1"/>
        <v>SALAH</v>
      </c>
    </row>
    <row r="47" spans="1:7" x14ac:dyDescent="0.35">
      <c r="A47" s="6">
        <v>33</v>
      </c>
      <c r="B47" s="6">
        <v>3.42</v>
      </c>
      <c r="C47" s="6">
        <v>89</v>
      </c>
      <c r="D47" s="6">
        <v>0</v>
      </c>
      <c r="E47" s="6">
        <v>1</v>
      </c>
      <c r="F47" s="6">
        <f t="shared" si="0"/>
        <v>1</v>
      </c>
      <c r="G47" s="6" t="str">
        <f t="shared" si="1"/>
        <v>BENAR</v>
      </c>
    </row>
    <row r="48" spans="1:7" x14ac:dyDescent="0.35">
      <c r="A48" s="6">
        <v>17</v>
      </c>
      <c r="B48" s="6">
        <v>2.65</v>
      </c>
      <c r="C48" s="6">
        <v>70</v>
      </c>
      <c r="D48" s="6">
        <v>1</v>
      </c>
      <c r="E48" s="6">
        <v>0</v>
      </c>
      <c r="F48" s="6">
        <f t="shared" si="0"/>
        <v>0</v>
      </c>
      <c r="G48" s="6" t="str">
        <f t="shared" si="1"/>
        <v>BENAR</v>
      </c>
    </row>
    <row r="49" spans="1:7" x14ac:dyDescent="0.35">
      <c r="A49" s="6">
        <v>43</v>
      </c>
      <c r="B49" s="6">
        <v>3.18</v>
      </c>
      <c r="C49" s="6">
        <v>79.6875</v>
      </c>
      <c r="D49" s="6">
        <v>1</v>
      </c>
      <c r="E49" s="6">
        <v>1</v>
      </c>
      <c r="F49" s="6">
        <f t="shared" si="0"/>
        <v>0</v>
      </c>
      <c r="G49" s="6" t="str">
        <f t="shared" si="1"/>
        <v>SALAH</v>
      </c>
    </row>
    <row r="50" spans="1:7" x14ac:dyDescent="0.35">
      <c r="A50" s="6">
        <v>1</v>
      </c>
      <c r="B50" s="6">
        <v>3.5</v>
      </c>
      <c r="C50" s="6">
        <v>90</v>
      </c>
      <c r="D50" s="6">
        <v>0</v>
      </c>
      <c r="E50" s="6">
        <v>1</v>
      </c>
      <c r="F50" s="6">
        <f t="shared" si="0"/>
        <v>1</v>
      </c>
      <c r="G50" s="6" t="str">
        <f t="shared" si="1"/>
        <v>BENAR</v>
      </c>
    </row>
    <row r="51" spans="1:7" x14ac:dyDescent="0.35">
      <c r="A51" s="6">
        <v>28</v>
      </c>
      <c r="B51" s="6">
        <v>3.28</v>
      </c>
      <c r="C51" s="6">
        <v>84</v>
      </c>
      <c r="D51" s="6">
        <v>0</v>
      </c>
      <c r="E51" s="6">
        <v>1</v>
      </c>
      <c r="F51" s="6">
        <f t="shared" si="0"/>
        <v>0</v>
      </c>
      <c r="G51" s="6" t="str">
        <f t="shared" si="1"/>
        <v>SALAH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>
      <selection activeCell="C8" sqref="A1:G51"/>
    </sheetView>
  </sheetViews>
  <sheetFormatPr defaultRowHeight="14.5" x14ac:dyDescent="0.35"/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16</v>
      </c>
      <c r="G1" s="5" t="s">
        <v>13</v>
      </c>
    </row>
    <row r="2" spans="1:7" x14ac:dyDescent="0.35">
      <c r="A2" s="6">
        <v>25</v>
      </c>
      <c r="B2" s="6">
        <v>2.95</v>
      </c>
      <c r="C2" s="6">
        <v>74</v>
      </c>
      <c r="D2" s="6">
        <v>1</v>
      </c>
      <c r="E2" s="6">
        <v>0</v>
      </c>
      <c r="F2" s="6">
        <f>IF(C2&gt;=70, 1, 0)</f>
        <v>1</v>
      </c>
      <c r="G2" s="6" t="str">
        <f>IF(F2=E2, "BENAR", "SALAH")</f>
        <v>SALAH</v>
      </c>
    </row>
    <row r="3" spans="1:7" x14ac:dyDescent="0.35">
      <c r="A3" s="6">
        <v>21</v>
      </c>
      <c r="B3" s="6">
        <v>3.7</v>
      </c>
      <c r="C3" s="6">
        <v>94</v>
      </c>
      <c r="D3" s="6">
        <v>0</v>
      </c>
      <c r="E3" s="6">
        <v>1</v>
      </c>
      <c r="F3" s="6">
        <f t="shared" ref="F3:F51" si="0">IF(C3&gt;=70, 1, 0)</f>
        <v>1</v>
      </c>
      <c r="G3" s="6" t="str">
        <f t="shared" ref="G3:G51" si="1">IF(F3=E3, "BENAR", "SALAH")</f>
        <v>BENAR</v>
      </c>
    </row>
    <row r="4" spans="1:7" x14ac:dyDescent="0.35">
      <c r="A4" s="6">
        <v>23</v>
      </c>
      <c r="B4" s="6">
        <v>3.05</v>
      </c>
      <c r="C4" s="6">
        <v>80</v>
      </c>
      <c r="D4" s="6">
        <v>1</v>
      </c>
      <c r="E4" s="6">
        <v>1</v>
      </c>
      <c r="F4" s="6">
        <f t="shared" si="0"/>
        <v>1</v>
      </c>
      <c r="G4" s="6" t="str">
        <f t="shared" si="1"/>
        <v>BENAR</v>
      </c>
    </row>
    <row r="5" spans="1:7" x14ac:dyDescent="0.35">
      <c r="A5" s="6">
        <v>17</v>
      </c>
      <c r="B5" s="6">
        <v>2.65</v>
      </c>
      <c r="C5" s="6">
        <v>70</v>
      </c>
      <c r="D5" s="6">
        <v>1</v>
      </c>
      <c r="E5" s="6">
        <v>0</v>
      </c>
      <c r="F5" s="6">
        <f t="shared" si="0"/>
        <v>1</v>
      </c>
      <c r="G5" s="6" t="str">
        <f t="shared" si="1"/>
        <v>SALAH</v>
      </c>
    </row>
    <row r="6" spans="1:7" x14ac:dyDescent="0.35">
      <c r="A6" s="6">
        <v>2</v>
      </c>
      <c r="B6" s="6">
        <v>2.8</v>
      </c>
      <c r="C6" s="6">
        <v>75</v>
      </c>
      <c r="D6" s="6">
        <v>1</v>
      </c>
      <c r="E6" s="6">
        <v>0</v>
      </c>
      <c r="F6" s="6">
        <f t="shared" si="0"/>
        <v>1</v>
      </c>
      <c r="G6" s="6" t="str">
        <f t="shared" si="1"/>
        <v>SALAH</v>
      </c>
    </row>
    <row r="7" spans="1:7" x14ac:dyDescent="0.35">
      <c r="A7" s="6">
        <v>10</v>
      </c>
      <c r="B7" s="6">
        <v>3.6</v>
      </c>
      <c r="C7" s="6">
        <v>92</v>
      </c>
      <c r="D7" s="6">
        <v>0</v>
      </c>
      <c r="E7" s="6">
        <v>1</v>
      </c>
      <c r="F7" s="6">
        <f t="shared" si="0"/>
        <v>1</v>
      </c>
      <c r="G7" s="6" t="str">
        <f t="shared" si="1"/>
        <v>BENAR</v>
      </c>
    </row>
    <row r="8" spans="1:7" x14ac:dyDescent="0.35">
      <c r="A8" s="6">
        <v>29</v>
      </c>
      <c r="B8" s="6">
        <v>3.1377083333333329</v>
      </c>
      <c r="C8" s="6">
        <v>80</v>
      </c>
      <c r="D8" s="6">
        <v>1</v>
      </c>
      <c r="E8" s="6">
        <v>1</v>
      </c>
      <c r="F8" s="6">
        <f t="shared" si="0"/>
        <v>1</v>
      </c>
      <c r="G8" s="6" t="str">
        <f t="shared" si="1"/>
        <v>BENAR</v>
      </c>
    </row>
    <row r="9" spans="1:7" x14ac:dyDescent="0.35">
      <c r="A9" s="6">
        <v>12</v>
      </c>
      <c r="B9" s="6">
        <v>3.3</v>
      </c>
      <c r="C9" s="6">
        <v>85</v>
      </c>
      <c r="D9" s="6">
        <v>0</v>
      </c>
      <c r="E9" s="6">
        <v>1</v>
      </c>
      <c r="F9" s="6">
        <f t="shared" si="0"/>
        <v>1</v>
      </c>
      <c r="G9" s="6" t="str">
        <f t="shared" si="1"/>
        <v>BENAR</v>
      </c>
    </row>
    <row r="10" spans="1:7" x14ac:dyDescent="0.35">
      <c r="A10" s="6">
        <v>7</v>
      </c>
      <c r="B10" s="6">
        <v>3.1</v>
      </c>
      <c r="C10" s="6">
        <v>80</v>
      </c>
      <c r="D10" s="6">
        <v>1</v>
      </c>
      <c r="E10" s="6">
        <v>1</v>
      </c>
      <c r="F10" s="6">
        <f t="shared" si="0"/>
        <v>1</v>
      </c>
      <c r="G10" s="6" t="str">
        <f t="shared" si="1"/>
        <v>BENAR</v>
      </c>
    </row>
    <row r="11" spans="1:7" x14ac:dyDescent="0.35">
      <c r="A11" s="6">
        <v>45</v>
      </c>
      <c r="B11" s="6">
        <v>2.82</v>
      </c>
      <c r="C11" s="6">
        <v>76</v>
      </c>
      <c r="D11" s="6">
        <v>1</v>
      </c>
      <c r="E11" s="6">
        <v>0</v>
      </c>
      <c r="F11" s="6">
        <f t="shared" si="0"/>
        <v>1</v>
      </c>
      <c r="G11" s="6" t="str">
        <f t="shared" si="1"/>
        <v>SALAH</v>
      </c>
    </row>
    <row r="12" spans="1:7" x14ac:dyDescent="0.35">
      <c r="A12" s="6">
        <v>44</v>
      </c>
      <c r="B12" s="6">
        <v>3.48</v>
      </c>
      <c r="C12" s="6">
        <v>92</v>
      </c>
      <c r="D12" s="6">
        <v>0</v>
      </c>
      <c r="E12" s="6">
        <v>1</v>
      </c>
      <c r="F12" s="6">
        <f t="shared" si="0"/>
        <v>1</v>
      </c>
      <c r="G12" s="6" t="str">
        <f t="shared" si="1"/>
        <v>BENAR</v>
      </c>
    </row>
    <row r="13" spans="1:7" x14ac:dyDescent="0.35">
      <c r="A13" s="6">
        <v>13</v>
      </c>
      <c r="B13" s="6">
        <v>3</v>
      </c>
      <c r="C13" s="6">
        <v>79.6875</v>
      </c>
      <c r="D13" s="6">
        <v>1</v>
      </c>
      <c r="E13" s="6">
        <v>1</v>
      </c>
      <c r="F13" s="6">
        <f t="shared" si="0"/>
        <v>1</v>
      </c>
      <c r="G13" s="6" t="str">
        <f t="shared" si="1"/>
        <v>BENAR</v>
      </c>
    </row>
    <row r="14" spans="1:7" x14ac:dyDescent="0.35">
      <c r="A14" s="6">
        <v>3</v>
      </c>
      <c r="B14" s="6">
        <v>3.2</v>
      </c>
      <c r="C14" s="6">
        <v>85</v>
      </c>
      <c r="D14" s="6">
        <v>0</v>
      </c>
      <c r="E14" s="6">
        <v>1</v>
      </c>
      <c r="F14" s="6">
        <f t="shared" si="0"/>
        <v>1</v>
      </c>
      <c r="G14" s="6" t="str">
        <f t="shared" si="1"/>
        <v>BENAR</v>
      </c>
    </row>
    <row r="15" spans="1:7" x14ac:dyDescent="0.35">
      <c r="A15" s="6">
        <v>18</v>
      </c>
      <c r="B15" s="6">
        <v>3.15</v>
      </c>
      <c r="C15" s="6">
        <v>78</v>
      </c>
      <c r="D15" s="6">
        <v>1</v>
      </c>
      <c r="E15" s="6">
        <v>1</v>
      </c>
      <c r="F15" s="6">
        <f t="shared" si="0"/>
        <v>1</v>
      </c>
      <c r="G15" s="6" t="str">
        <f t="shared" si="1"/>
        <v>BENAR</v>
      </c>
    </row>
    <row r="16" spans="1:7" x14ac:dyDescent="0.35">
      <c r="A16" s="6">
        <v>38</v>
      </c>
      <c r="B16" s="6">
        <v>3.38</v>
      </c>
      <c r="C16" s="6">
        <v>86</v>
      </c>
      <c r="D16" s="6">
        <v>0</v>
      </c>
      <c r="E16" s="6">
        <v>1</v>
      </c>
      <c r="F16" s="6">
        <f t="shared" si="0"/>
        <v>1</v>
      </c>
      <c r="G16" s="6" t="str">
        <f t="shared" si="1"/>
        <v>BENAR</v>
      </c>
    </row>
    <row r="17" spans="1:7" x14ac:dyDescent="0.35">
      <c r="A17" s="6">
        <v>19</v>
      </c>
      <c r="B17" s="6">
        <v>3.45</v>
      </c>
      <c r="C17" s="6">
        <v>90</v>
      </c>
      <c r="D17" s="6">
        <v>0</v>
      </c>
      <c r="E17" s="6">
        <v>1</v>
      </c>
      <c r="F17" s="6">
        <f t="shared" si="0"/>
        <v>1</v>
      </c>
      <c r="G17" s="6" t="str">
        <f t="shared" si="1"/>
        <v>BENAR</v>
      </c>
    </row>
    <row r="18" spans="1:7" x14ac:dyDescent="0.35">
      <c r="A18" s="6">
        <v>16</v>
      </c>
      <c r="B18" s="6">
        <v>3.25</v>
      </c>
      <c r="C18" s="6">
        <v>82</v>
      </c>
      <c r="D18" s="6">
        <v>0</v>
      </c>
      <c r="E18" s="6">
        <v>1</v>
      </c>
      <c r="F18" s="6">
        <f t="shared" si="0"/>
        <v>1</v>
      </c>
      <c r="G18" s="6" t="str">
        <f t="shared" si="1"/>
        <v>BENAR</v>
      </c>
    </row>
    <row r="19" spans="1:7" x14ac:dyDescent="0.35">
      <c r="A19" s="6">
        <v>47</v>
      </c>
      <c r="B19" s="6">
        <v>2.52</v>
      </c>
      <c r="C19" s="6">
        <v>61</v>
      </c>
      <c r="D19" s="6">
        <v>1</v>
      </c>
      <c r="E19" s="6">
        <v>0</v>
      </c>
      <c r="F19" s="6">
        <f t="shared" si="0"/>
        <v>0</v>
      </c>
      <c r="G19" s="6" t="str">
        <f t="shared" si="1"/>
        <v>BENAR</v>
      </c>
    </row>
    <row r="20" spans="1:7" x14ac:dyDescent="0.35">
      <c r="A20" s="6">
        <v>32</v>
      </c>
      <c r="B20" s="6">
        <v>3.12</v>
      </c>
      <c r="C20" s="6">
        <v>79</v>
      </c>
      <c r="D20" s="6">
        <v>1</v>
      </c>
      <c r="E20" s="6">
        <v>1</v>
      </c>
      <c r="F20" s="6">
        <f t="shared" si="0"/>
        <v>1</v>
      </c>
      <c r="G20" s="6" t="str">
        <f t="shared" si="1"/>
        <v>BENAR</v>
      </c>
    </row>
    <row r="21" spans="1:7" x14ac:dyDescent="0.35">
      <c r="A21" s="6">
        <v>46</v>
      </c>
      <c r="B21" s="6">
        <v>3.62</v>
      </c>
      <c r="C21" s="6">
        <v>95</v>
      </c>
      <c r="D21" s="6">
        <v>0</v>
      </c>
      <c r="E21" s="6">
        <v>1</v>
      </c>
      <c r="F21" s="6">
        <f t="shared" si="0"/>
        <v>1</v>
      </c>
      <c r="G21" s="6" t="str">
        <f t="shared" si="1"/>
        <v>BENAR</v>
      </c>
    </row>
    <row r="22" spans="1:7" x14ac:dyDescent="0.35">
      <c r="A22" s="6">
        <v>39</v>
      </c>
      <c r="B22" s="6">
        <v>2.92</v>
      </c>
      <c r="C22" s="6">
        <v>71</v>
      </c>
      <c r="D22" s="6">
        <v>1</v>
      </c>
      <c r="E22" s="6">
        <v>0</v>
      </c>
      <c r="F22" s="6">
        <f t="shared" si="0"/>
        <v>1</v>
      </c>
      <c r="G22" s="6" t="str">
        <f t="shared" si="1"/>
        <v>SALAH</v>
      </c>
    </row>
    <row r="23" spans="1:7" x14ac:dyDescent="0.35">
      <c r="A23" s="6">
        <v>37</v>
      </c>
      <c r="B23" s="6">
        <v>3.08</v>
      </c>
      <c r="C23" s="6">
        <v>81</v>
      </c>
      <c r="D23" s="6">
        <v>1</v>
      </c>
      <c r="E23" s="6">
        <v>1</v>
      </c>
      <c r="F23" s="6">
        <f t="shared" si="0"/>
        <v>1</v>
      </c>
      <c r="G23" s="6" t="str">
        <f t="shared" si="1"/>
        <v>BENAR</v>
      </c>
    </row>
    <row r="24" spans="1:7" x14ac:dyDescent="0.35">
      <c r="A24" s="6">
        <v>40</v>
      </c>
      <c r="B24" s="6">
        <v>3.85</v>
      </c>
      <c r="C24" s="6">
        <v>98</v>
      </c>
      <c r="D24" s="6">
        <v>0</v>
      </c>
      <c r="E24" s="6">
        <v>1</v>
      </c>
      <c r="F24" s="6">
        <f t="shared" si="0"/>
        <v>1</v>
      </c>
      <c r="G24" s="6" t="str">
        <f t="shared" si="1"/>
        <v>BENAR</v>
      </c>
    </row>
    <row r="25" spans="1:7" x14ac:dyDescent="0.35">
      <c r="A25" s="6">
        <v>35</v>
      </c>
      <c r="B25" s="6">
        <v>3.75</v>
      </c>
      <c r="C25" s="6">
        <v>96</v>
      </c>
      <c r="D25" s="6">
        <v>0</v>
      </c>
      <c r="E25" s="6">
        <v>1</v>
      </c>
      <c r="F25" s="6">
        <f t="shared" si="0"/>
        <v>1</v>
      </c>
      <c r="G25" s="6" t="str">
        <f t="shared" si="1"/>
        <v>BENAR</v>
      </c>
    </row>
    <row r="26" spans="1:7" x14ac:dyDescent="0.35">
      <c r="A26" s="6">
        <v>1</v>
      </c>
      <c r="B26" s="6">
        <v>3.5</v>
      </c>
      <c r="C26" s="6">
        <v>90</v>
      </c>
      <c r="D26" s="6">
        <v>0</v>
      </c>
      <c r="E26" s="6">
        <v>1</v>
      </c>
      <c r="F26" s="6">
        <f t="shared" si="0"/>
        <v>1</v>
      </c>
      <c r="G26" s="6" t="str">
        <f t="shared" si="1"/>
        <v>BENAR</v>
      </c>
    </row>
    <row r="27" spans="1:7" x14ac:dyDescent="0.35">
      <c r="A27" s="6">
        <v>42</v>
      </c>
      <c r="B27" s="6">
        <v>2.72</v>
      </c>
      <c r="C27" s="6">
        <v>67</v>
      </c>
      <c r="D27" s="6">
        <v>1</v>
      </c>
      <c r="E27" s="6">
        <v>0</v>
      </c>
      <c r="F27" s="6">
        <f t="shared" si="0"/>
        <v>0</v>
      </c>
      <c r="G27" s="6" t="str">
        <f t="shared" si="1"/>
        <v>BENAR</v>
      </c>
    </row>
    <row r="28" spans="1:7" x14ac:dyDescent="0.35">
      <c r="A28" s="6">
        <v>49</v>
      </c>
      <c r="B28" s="6">
        <v>3.32</v>
      </c>
      <c r="C28" s="6">
        <v>84</v>
      </c>
      <c r="D28" s="6">
        <v>0</v>
      </c>
      <c r="E28" s="6">
        <v>1</v>
      </c>
      <c r="F28" s="6">
        <f t="shared" si="0"/>
        <v>1</v>
      </c>
      <c r="G28" s="6" t="str">
        <f t="shared" si="1"/>
        <v>BENAR</v>
      </c>
    </row>
    <row r="29" spans="1:7" x14ac:dyDescent="0.35">
      <c r="A29" s="6">
        <v>27</v>
      </c>
      <c r="B29" s="6">
        <v>2.75</v>
      </c>
      <c r="C29" s="6">
        <v>68</v>
      </c>
      <c r="D29" s="6">
        <v>1</v>
      </c>
      <c r="E29" s="6">
        <v>0</v>
      </c>
      <c r="F29" s="6">
        <f t="shared" si="0"/>
        <v>0</v>
      </c>
      <c r="G29" s="6" t="str">
        <f t="shared" si="1"/>
        <v>BENAR</v>
      </c>
    </row>
    <row r="30" spans="1:7" x14ac:dyDescent="0.35">
      <c r="A30" s="6">
        <v>22</v>
      </c>
      <c r="B30" s="6">
        <v>2.5499999999999998</v>
      </c>
      <c r="C30" s="6">
        <v>62</v>
      </c>
      <c r="D30" s="6">
        <v>1</v>
      </c>
      <c r="E30" s="6">
        <v>0</v>
      </c>
      <c r="F30" s="6">
        <f t="shared" si="0"/>
        <v>0</v>
      </c>
      <c r="G30" s="6" t="str">
        <f t="shared" si="1"/>
        <v>BENAR</v>
      </c>
    </row>
    <row r="31" spans="1:7" x14ac:dyDescent="0.35">
      <c r="A31" s="6">
        <v>6</v>
      </c>
      <c r="B31" s="6">
        <v>2.9</v>
      </c>
      <c r="C31" s="6">
        <v>70</v>
      </c>
      <c r="D31" s="6">
        <v>1</v>
      </c>
      <c r="E31" s="6">
        <v>0</v>
      </c>
      <c r="F31" s="6">
        <f t="shared" si="0"/>
        <v>1</v>
      </c>
      <c r="G31" s="6" t="str">
        <f t="shared" si="1"/>
        <v>SALAH</v>
      </c>
    </row>
    <row r="32" spans="1:7" x14ac:dyDescent="0.35">
      <c r="A32" s="6">
        <v>8</v>
      </c>
      <c r="B32" s="6">
        <v>3.4</v>
      </c>
      <c r="C32" s="6">
        <v>88</v>
      </c>
      <c r="D32" s="6">
        <v>0</v>
      </c>
      <c r="E32" s="6">
        <v>1</v>
      </c>
      <c r="F32" s="6">
        <f t="shared" si="0"/>
        <v>1</v>
      </c>
      <c r="G32" s="6" t="str">
        <f t="shared" si="1"/>
        <v>BENAR</v>
      </c>
    </row>
    <row r="33" spans="1:7" x14ac:dyDescent="0.35">
      <c r="A33" s="6">
        <v>36</v>
      </c>
      <c r="B33" s="6">
        <v>2.6</v>
      </c>
      <c r="C33" s="6">
        <v>63</v>
      </c>
      <c r="D33" s="6">
        <v>1</v>
      </c>
      <c r="E33" s="6">
        <v>0</v>
      </c>
      <c r="F33" s="6">
        <f t="shared" si="0"/>
        <v>0</v>
      </c>
      <c r="G33" s="6" t="str">
        <f t="shared" si="1"/>
        <v>BENAR</v>
      </c>
    </row>
    <row r="34" spans="1:7" x14ac:dyDescent="0.35">
      <c r="A34" s="6">
        <v>48</v>
      </c>
      <c r="B34" s="6">
        <v>3.02</v>
      </c>
      <c r="C34" s="6">
        <v>79</v>
      </c>
      <c r="D34" s="6">
        <v>1</v>
      </c>
      <c r="E34" s="6">
        <v>1</v>
      </c>
      <c r="F34" s="6">
        <f t="shared" si="0"/>
        <v>1</v>
      </c>
      <c r="G34" s="6" t="str">
        <f t="shared" si="1"/>
        <v>BENAR</v>
      </c>
    </row>
    <row r="35" spans="1:7" x14ac:dyDescent="0.35">
      <c r="A35" s="6">
        <v>4</v>
      </c>
      <c r="B35" s="6">
        <v>2.5</v>
      </c>
      <c r="C35" s="6">
        <v>60</v>
      </c>
      <c r="D35" s="6">
        <v>1</v>
      </c>
      <c r="E35" s="6">
        <v>0</v>
      </c>
      <c r="F35" s="6">
        <f t="shared" si="0"/>
        <v>0</v>
      </c>
      <c r="G35" s="6" t="str">
        <f t="shared" si="1"/>
        <v>BENAR</v>
      </c>
    </row>
    <row r="36" spans="1:7" x14ac:dyDescent="0.35">
      <c r="A36" s="6">
        <v>28</v>
      </c>
      <c r="B36" s="6">
        <v>3.28</v>
      </c>
      <c r="C36" s="6">
        <v>84</v>
      </c>
      <c r="D36" s="6">
        <v>0</v>
      </c>
      <c r="E36" s="6">
        <v>1</v>
      </c>
      <c r="F36" s="6">
        <f t="shared" si="0"/>
        <v>1</v>
      </c>
      <c r="G36" s="6" t="str">
        <f t="shared" si="1"/>
        <v>BENAR</v>
      </c>
    </row>
    <row r="37" spans="1:7" x14ac:dyDescent="0.35">
      <c r="A37" s="6">
        <v>43</v>
      </c>
      <c r="B37" s="6">
        <v>3.18</v>
      </c>
      <c r="C37" s="6">
        <v>79.6875</v>
      </c>
      <c r="D37" s="6">
        <v>1</v>
      </c>
      <c r="E37" s="6">
        <v>1</v>
      </c>
      <c r="F37" s="6">
        <f t="shared" si="0"/>
        <v>1</v>
      </c>
      <c r="G37" s="6" t="str">
        <f t="shared" si="1"/>
        <v>BENAR</v>
      </c>
    </row>
    <row r="38" spans="1:7" x14ac:dyDescent="0.35">
      <c r="A38" s="6">
        <v>9</v>
      </c>
      <c r="B38" s="6">
        <v>3.1377083333333329</v>
      </c>
      <c r="C38" s="6">
        <v>75</v>
      </c>
      <c r="D38" s="6">
        <v>1</v>
      </c>
      <c r="E38" s="6">
        <v>0</v>
      </c>
      <c r="F38" s="6">
        <f t="shared" si="0"/>
        <v>1</v>
      </c>
      <c r="G38" s="6" t="str">
        <f t="shared" si="1"/>
        <v>SALAH</v>
      </c>
    </row>
    <row r="39" spans="1:7" x14ac:dyDescent="0.35">
      <c r="A39" s="6">
        <v>31</v>
      </c>
      <c r="B39" s="6">
        <v>2.4500000000000002</v>
      </c>
      <c r="C39" s="6">
        <v>58</v>
      </c>
      <c r="D39" s="6">
        <v>1</v>
      </c>
      <c r="E39" s="6">
        <v>0</v>
      </c>
      <c r="F39" s="6">
        <f t="shared" si="0"/>
        <v>0</v>
      </c>
      <c r="G39" s="6" t="str">
        <f t="shared" si="1"/>
        <v>BENAR</v>
      </c>
    </row>
    <row r="40" spans="1:7" x14ac:dyDescent="0.35">
      <c r="A40" s="6">
        <v>20</v>
      </c>
      <c r="B40" s="6">
        <v>2.85</v>
      </c>
      <c r="C40" s="6">
        <v>72</v>
      </c>
      <c r="D40" s="6">
        <v>1</v>
      </c>
      <c r="E40" s="6">
        <v>0</v>
      </c>
      <c r="F40" s="6">
        <f t="shared" si="0"/>
        <v>1</v>
      </c>
      <c r="G40" s="6" t="str">
        <f t="shared" si="1"/>
        <v>SALAH</v>
      </c>
    </row>
    <row r="41" spans="1:7" x14ac:dyDescent="0.35">
      <c r="A41" s="6">
        <v>5</v>
      </c>
      <c r="B41" s="6">
        <v>3.8</v>
      </c>
      <c r="C41" s="6">
        <v>95</v>
      </c>
      <c r="D41" s="6">
        <v>0</v>
      </c>
      <c r="E41" s="6">
        <v>1</v>
      </c>
      <c r="F41" s="6">
        <f t="shared" si="0"/>
        <v>1</v>
      </c>
      <c r="G41" s="6" t="str">
        <f t="shared" si="1"/>
        <v>BENAR</v>
      </c>
    </row>
    <row r="42" spans="1:7" x14ac:dyDescent="0.35">
      <c r="A42" s="6">
        <v>41</v>
      </c>
      <c r="B42" s="6">
        <v>3.22</v>
      </c>
      <c r="C42" s="6">
        <v>83</v>
      </c>
      <c r="D42" s="6">
        <v>0</v>
      </c>
      <c r="E42" s="6">
        <v>1</v>
      </c>
      <c r="F42" s="6">
        <f t="shared" si="0"/>
        <v>1</v>
      </c>
      <c r="G42" s="6" t="str">
        <f t="shared" si="1"/>
        <v>BENAR</v>
      </c>
    </row>
    <row r="43" spans="1:7" x14ac:dyDescent="0.35">
      <c r="A43" s="6">
        <v>34</v>
      </c>
      <c r="B43" s="6">
        <v>2.88</v>
      </c>
      <c r="C43" s="6">
        <v>73</v>
      </c>
      <c r="D43" s="6">
        <v>1</v>
      </c>
      <c r="E43" s="6">
        <v>0</v>
      </c>
      <c r="F43" s="6">
        <f t="shared" si="0"/>
        <v>1</v>
      </c>
      <c r="G43" s="6" t="str">
        <f t="shared" si="1"/>
        <v>SALAH</v>
      </c>
    </row>
    <row r="44" spans="1:7" x14ac:dyDescent="0.35">
      <c r="A44" s="6">
        <v>15</v>
      </c>
      <c r="B44" s="6">
        <v>3.9</v>
      </c>
      <c r="C44" s="6">
        <v>100</v>
      </c>
      <c r="D44" s="6">
        <v>0</v>
      </c>
      <c r="E44" s="6">
        <v>1</v>
      </c>
      <c r="F44" s="6">
        <f t="shared" si="0"/>
        <v>1</v>
      </c>
      <c r="G44" s="6" t="str">
        <f t="shared" si="1"/>
        <v>BENAR</v>
      </c>
    </row>
    <row r="45" spans="1:7" x14ac:dyDescent="0.35">
      <c r="A45" s="6">
        <v>26</v>
      </c>
      <c r="B45" s="6">
        <v>3.55</v>
      </c>
      <c r="C45" s="6">
        <v>91</v>
      </c>
      <c r="D45" s="6">
        <v>0</v>
      </c>
      <c r="E45" s="6">
        <v>1</v>
      </c>
      <c r="F45" s="6">
        <f t="shared" si="0"/>
        <v>1</v>
      </c>
      <c r="G45" s="6" t="str">
        <f t="shared" si="1"/>
        <v>BENAR</v>
      </c>
    </row>
    <row r="46" spans="1:7" x14ac:dyDescent="0.35">
      <c r="A46" s="6">
        <v>11</v>
      </c>
      <c r="B46" s="6">
        <v>2.7</v>
      </c>
      <c r="C46" s="6">
        <v>65</v>
      </c>
      <c r="D46" s="6">
        <v>1</v>
      </c>
      <c r="E46" s="6">
        <v>0</v>
      </c>
      <c r="F46" s="6">
        <f t="shared" si="0"/>
        <v>0</v>
      </c>
      <c r="G46" s="6" t="str">
        <f t="shared" si="1"/>
        <v>BENAR</v>
      </c>
    </row>
    <row r="47" spans="1:7" x14ac:dyDescent="0.35">
      <c r="A47" s="6">
        <v>50</v>
      </c>
      <c r="B47" s="6">
        <v>2.98</v>
      </c>
      <c r="C47" s="6">
        <v>74</v>
      </c>
      <c r="D47" s="6">
        <v>1</v>
      </c>
      <c r="E47" s="6">
        <v>0</v>
      </c>
      <c r="F47" s="6">
        <f t="shared" si="0"/>
        <v>1</v>
      </c>
      <c r="G47" s="6" t="str">
        <f t="shared" si="1"/>
        <v>SALAH</v>
      </c>
    </row>
    <row r="48" spans="1:7" x14ac:dyDescent="0.35">
      <c r="A48" s="6">
        <v>33</v>
      </c>
      <c r="B48" s="6">
        <v>3.42</v>
      </c>
      <c r="C48" s="6">
        <v>89</v>
      </c>
      <c r="D48" s="6">
        <v>0</v>
      </c>
      <c r="E48" s="6">
        <v>1</v>
      </c>
      <c r="F48" s="6">
        <f t="shared" si="0"/>
        <v>1</v>
      </c>
      <c r="G48" s="6" t="str">
        <f t="shared" si="1"/>
        <v>BENAR</v>
      </c>
    </row>
    <row r="49" spans="1:7" x14ac:dyDescent="0.35">
      <c r="A49" s="6">
        <v>30</v>
      </c>
      <c r="B49" s="6">
        <v>3.65</v>
      </c>
      <c r="C49" s="6">
        <v>93</v>
      </c>
      <c r="D49" s="6">
        <v>0</v>
      </c>
      <c r="E49" s="6">
        <v>1</v>
      </c>
      <c r="F49" s="6">
        <f t="shared" si="0"/>
        <v>1</v>
      </c>
      <c r="G49" s="6" t="str">
        <f t="shared" si="1"/>
        <v>BENAR</v>
      </c>
    </row>
    <row r="50" spans="1:7" x14ac:dyDescent="0.35">
      <c r="A50" s="6">
        <v>24</v>
      </c>
      <c r="B50" s="6">
        <v>3.35</v>
      </c>
      <c r="C50" s="6">
        <v>87</v>
      </c>
      <c r="D50" s="6">
        <v>0</v>
      </c>
      <c r="E50" s="6">
        <v>1</v>
      </c>
      <c r="F50" s="6">
        <f t="shared" si="0"/>
        <v>1</v>
      </c>
      <c r="G50" s="6" t="str">
        <f t="shared" si="1"/>
        <v>BENAR</v>
      </c>
    </row>
    <row r="51" spans="1:7" x14ac:dyDescent="0.35">
      <c r="A51" s="6">
        <v>14</v>
      </c>
      <c r="B51" s="6">
        <v>2.4</v>
      </c>
      <c r="C51" s="6">
        <v>55</v>
      </c>
      <c r="D51" s="6">
        <v>1</v>
      </c>
      <c r="E51" s="6">
        <v>0</v>
      </c>
      <c r="F51" s="6">
        <f t="shared" si="0"/>
        <v>0</v>
      </c>
      <c r="G51" s="6" t="str">
        <f t="shared" si="1"/>
        <v>BENAR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workbookViewId="0">
      <selection activeCell="F11" sqref="F11"/>
    </sheetView>
  </sheetViews>
  <sheetFormatPr defaultRowHeight="14.5" x14ac:dyDescent="0.35"/>
  <cols>
    <col min="11" max="11" width="12.08984375" customWidth="1"/>
    <col min="12" max="12" width="11.5429687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8" t="s">
        <v>17</v>
      </c>
      <c r="G1" s="18" t="s">
        <v>18</v>
      </c>
      <c r="H1" s="18" t="s">
        <v>19</v>
      </c>
      <c r="I1" s="18" t="s">
        <v>14</v>
      </c>
      <c r="J1" s="18" t="s">
        <v>16</v>
      </c>
      <c r="K1" s="18" t="s">
        <v>20</v>
      </c>
      <c r="L1" s="18" t="s">
        <v>21</v>
      </c>
    </row>
    <row r="2" spans="1:12" x14ac:dyDescent="0.35">
      <c r="A2" s="19">
        <v>1</v>
      </c>
      <c r="B2" s="19">
        <v>3.5</v>
      </c>
      <c r="C2" s="19">
        <v>90</v>
      </c>
      <c r="D2" s="19">
        <v>0</v>
      </c>
      <c r="E2" s="19">
        <v>1</v>
      </c>
      <c r="F2" s="19">
        <f>VLOOKUP($A2, 'iterasi 1'!$A$2:$F$51, 6, FALSE)</f>
        <v>1</v>
      </c>
      <c r="G2" s="19">
        <f>VLOOKUP($A2, 'iterasi 2'!A:F, 6, FALSE)</f>
        <v>1</v>
      </c>
      <c r="H2" s="19">
        <f>VLOOKUP($A2, 'iterasi 3'!$A$2:$F$51, 6, FALSE)</f>
        <v>0</v>
      </c>
      <c r="I2" s="19">
        <f>VLOOKUP($A2, 'iterasi 4'!$A$2:$F$51, 6, FALSE)</f>
        <v>1</v>
      </c>
      <c r="J2" s="19">
        <f>VLOOKUP($A2, 'iterasi 5'!$A$2:$F$51, 6, FALSE)</f>
        <v>1</v>
      </c>
      <c r="K2" s="19">
        <f>IF(SUM(F2:J2)&gt;=3, 1, 0)</f>
        <v>1</v>
      </c>
      <c r="L2" s="19" t="str">
        <f>IF(K2=E2, "BENAR", "SALAH")</f>
        <v>BENAR</v>
      </c>
    </row>
    <row r="3" spans="1:12" x14ac:dyDescent="0.35">
      <c r="A3" s="19">
        <v>2</v>
      </c>
      <c r="B3" s="19">
        <v>2.8</v>
      </c>
      <c r="C3" s="19">
        <v>75</v>
      </c>
      <c r="D3" s="19">
        <v>1</v>
      </c>
      <c r="E3" s="19">
        <v>0</v>
      </c>
      <c r="F3" s="19">
        <f>VLOOKUP($A3, 'iterasi 1'!$A$2:$F$51, 6, FALSE)</f>
        <v>0</v>
      </c>
      <c r="G3" s="19">
        <f>VLOOKUP($A3, 'iterasi 2'!A:F, 6, FALSE)</f>
        <v>0</v>
      </c>
      <c r="H3" s="19">
        <f>VLOOKUP($A3, 'iterasi 3'!$A$2:$F$51, 6, FALSE)</f>
        <v>1</v>
      </c>
      <c r="I3" s="19">
        <f>VLOOKUP($A3, 'iterasi 4'!$A$2:$F$51, 6, FALSE)</f>
        <v>0</v>
      </c>
      <c r="J3" s="19">
        <f>VLOOKUP($A3, 'iterasi 5'!$A$2:$F$51, 6, FALSE)</f>
        <v>1</v>
      </c>
      <c r="K3" s="19">
        <f t="shared" ref="K3:K51" si="0">IF(SUM(F3:J3)&gt;=3, 1, 0)</f>
        <v>0</v>
      </c>
      <c r="L3" s="19" t="str">
        <f t="shared" ref="L3:L51" si="1">IF(K3=E3, "BENAR", "SALAH")</f>
        <v>BENAR</v>
      </c>
    </row>
    <row r="4" spans="1:12" x14ac:dyDescent="0.35">
      <c r="A4" s="19">
        <v>3</v>
      </c>
      <c r="B4" s="19">
        <v>3.2</v>
      </c>
      <c r="C4" s="19">
        <v>85</v>
      </c>
      <c r="D4" s="19">
        <v>0</v>
      </c>
      <c r="E4" s="19">
        <v>1</v>
      </c>
      <c r="F4" s="19">
        <f>VLOOKUP($A4, 'iterasi 1'!$A$2:$F$51, 6, FALSE)</f>
        <v>1</v>
      </c>
      <c r="G4" s="19">
        <f>VLOOKUP($A4, 'iterasi 2'!A:F, 6, FALSE)</f>
        <v>1</v>
      </c>
      <c r="H4" s="19">
        <f>VLOOKUP($A4, 'iterasi 3'!$A$2:$F$51, 6, FALSE)</f>
        <v>0</v>
      </c>
      <c r="I4" s="19">
        <f>VLOOKUP($A4, 'iterasi 4'!$A$2:$F$51, 6, FALSE)</f>
        <v>0</v>
      </c>
      <c r="J4" s="19">
        <f>VLOOKUP($A4, 'iterasi 5'!$A$2:$F$51, 6, FALSE)</f>
        <v>1</v>
      </c>
      <c r="K4" s="19">
        <f t="shared" si="0"/>
        <v>1</v>
      </c>
      <c r="L4" s="19" t="str">
        <f t="shared" si="1"/>
        <v>BENAR</v>
      </c>
    </row>
    <row r="5" spans="1:12" x14ac:dyDescent="0.35">
      <c r="A5" s="19">
        <v>4</v>
      </c>
      <c r="B5" s="19">
        <v>2.5</v>
      </c>
      <c r="C5" s="19">
        <v>60</v>
      </c>
      <c r="D5" s="19">
        <v>1</v>
      </c>
      <c r="E5" s="19">
        <v>0</v>
      </c>
      <c r="F5" s="19">
        <f>VLOOKUP($A5, 'iterasi 1'!$A$2:$F$51, 6, FALSE)</f>
        <v>0</v>
      </c>
      <c r="G5" s="19">
        <f>VLOOKUP($A5, 'iterasi 2'!A:F, 6, FALSE)</f>
        <v>0</v>
      </c>
      <c r="H5" s="19">
        <f>VLOOKUP($A5, 'iterasi 3'!$A$2:$F$51, 6, FALSE)</f>
        <v>1</v>
      </c>
      <c r="I5" s="19">
        <f>VLOOKUP($A5, 'iterasi 4'!$A$2:$F$51, 6, FALSE)</f>
        <v>0</v>
      </c>
      <c r="J5" s="19">
        <f>VLOOKUP($A5, 'iterasi 5'!$A$2:$F$51, 6, FALSE)</f>
        <v>0</v>
      </c>
      <c r="K5" s="19">
        <f t="shared" si="0"/>
        <v>0</v>
      </c>
      <c r="L5" s="19" t="str">
        <f t="shared" si="1"/>
        <v>BENAR</v>
      </c>
    </row>
    <row r="6" spans="1:12" x14ac:dyDescent="0.35">
      <c r="A6" s="19">
        <v>5</v>
      </c>
      <c r="B6" s="19">
        <v>3.8</v>
      </c>
      <c r="C6" s="19">
        <v>95</v>
      </c>
      <c r="D6" s="19">
        <v>0</v>
      </c>
      <c r="E6" s="19">
        <v>1</v>
      </c>
      <c r="F6" s="19">
        <f>VLOOKUP($A6, 'iterasi 1'!$A$2:$F$51, 6, FALSE)</f>
        <v>1</v>
      </c>
      <c r="G6" s="19">
        <f>VLOOKUP($A6, 'iterasi 2'!A:F, 6, FALSE)</f>
        <v>1</v>
      </c>
      <c r="H6" s="19">
        <f>VLOOKUP($A6, 'iterasi 3'!$A$2:$F$51, 6, FALSE)</f>
        <v>0</v>
      </c>
      <c r="I6" s="19">
        <f>VLOOKUP($A6, 'iterasi 4'!$A$2:$F$51, 6, FALSE)</f>
        <v>1</v>
      </c>
      <c r="J6" s="19">
        <f>VLOOKUP($A6, 'iterasi 5'!$A$2:$F$51, 6, FALSE)</f>
        <v>1</v>
      </c>
      <c r="K6" s="19">
        <f t="shared" si="0"/>
        <v>1</v>
      </c>
      <c r="L6" s="19" t="str">
        <f t="shared" si="1"/>
        <v>BENAR</v>
      </c>
    </row>
    <row r="7" spans="1:12" x14ac:dyDescent="0.35">
      <c r="A7" s="19">
        <v>6</v>
      </c>
      <c r="B7" s="19">
        <v>2.9</v>
      </c>
      <c r="C7" s="19">
        <v>70</v>
      </c>
      <c r="D7" s="19">
        <v>1</v>
      </c>
      <c r="E7" s="19">
        <v>0</v>
      </c>
      <c r="F7" s="19">
        <f>VLOOKUP($A7, 'iterasi 1'!$A$2:$F$51, 6, FALSE)</f>
        <v>0</v>
      </c>
      <c r="G7" s="19">
        <f>VLOOKUP($A7, 'iterasi 2'!A:F, 6, FALSE)</f>
        <v>0</v>
      </c>
      <c r="H7" s="19">
        <f>VLOOKUP($A7, 'iterasi 3'!$A$2:$F$51, 6, FALSE)</f>
        <v>1</v>
      </c>
      <c r="I7" s="19">
        <f>VLOOKUP($A7, 'iterasi 4'!$A$2:$F$51, 6, FALSE)</f>
        <v>0</v>
      </c>
      <c r="J7" s="19">
        <f>VLOOKUP($A7, 'iterasi 5'!$A$2:$F$51, 6, FALSE)</f>
        <v>1</v>
      </c>
      <c r="K7" s="19">
        <f t="shared" si="0"/>
        <v>0</v>
      </c>
      <c r="L7" s="19" t="str">
        <f t="shared" si="1"/>
        <v>BENAR</v>
      </c>
    </row>
    <row r="8" spans="1:12" x14ac:dyDescent="0.35">
      <c r="A8" s="19">
        <v>7</v>
      </c>
      <c r="B8" s="19">
        <v>3.1</v>
      </c>
      <c r="C8" s="19">
        <v>80</v>
      </c>
      <c r="D8" s="19">
        <v>1</v>
      </c>
      <c r="E8" s="19">
        <v>1</v>
      </c>
      <c r="F8" s="19">
        <f>VLOOKUP($A8, 'iterasi 1'!$A$2:$F$51, 6, FALSE)</f>
        <v>1</v>
      </c>
      <c r="G8" s="19">
        <f>VLOOKUP($A8, 'iterasi 2'!A:F, 6, FALSE)</f>
        <v>1</v>
      </c>
      <c r="H8" s="19">
        <f>VLOOKUP($A8, 'iterasi 3'!$A$2:$F$51, 6, FALSE)</f>
        <v>1</v>
      </c>
      <c r="I8" s="19">
        <f>VLOOKUP($A8, 'iterasi 4'!$A$2:$F$51, 6, FALSE)</f>
        <v>0</v>
      </c>
      <c r="J8" s="19">
        <f>VLOOKUP($A8, 'iterasi 5'!$A$2:$F$51, 6, FALSE)</f>
        <v>1</v>
      </c>
      <c r="K8" s="19">
        <f t="shared" si="0"/>
        <v>1</v>
      </c>
      <c r="L8" s="19" t="str">
        <f t="shared" si="1"/>
        <v>BENAR</v>
      </c>
    </row>
    <row r="9" spans="1:12" x14ac:dyDescent="0.35">
      <c r="A9" s="19">
        <v>8</v>
      </c>
      <c r="B9" s="19">
        <v>3.4</v>
      </c>
      <c r="C9" s="19">
        <v>88</v>
      </c>
      <c r="D9" s="19">
        <v>0</v>
      </c>
      <c r="E9" s="19">
        <v>1</v>
      </c>
      <c r="F9" s="19">
        <f>VLOOKUP($A9, 'iterasi 1'!$A$2:$F$51, 6, FALSE)</f>
        <v>1</v>
      </c>
      <c r="G9" s="19">
        <f>VLOOKUP($A9, 'iterasi 2'!A:F, 6, FALSE)</f>
        <v>1</v>
      </c>
      <c r="H9" s="19">
        <f>VLOOKUP($A9, 'iterasi 3'!$A$2:$F$51, 6, FALSE)</f>
        <v>0</v>
      </c>
      <c r="I9" s="19">
        <f>VLOOKUP($A9, 'iterasi 4'!$A$2:$F$51, 6, FALSE)</f>
        <v>1</v>
      </c>
      <c r="J9" s="19">
        <f>VLOOKUP($A9, 'iterasi 5'!$A$2:$F$51, 6, FALSE)</f>
        <v>1</v>
      </c>
      <c r="K9" s="19">
        <f t="shared" si="0"/>
        <v>1</v>
      </c>
      <c r="L9" s="19" t="str">
        <f t="shared" si="1"/>
        <v>BENAR</v>
      </c>
    </row>
    <row r="10" spans="1:12" x14ac:dyDescent="0.35">
      <c r="A10" s="19">
        <v>9</v>
      </c>
      <c r="B10" s="19">
        <v>3.1377083333333329</v>
      </c>
      <c r="C10" s="19">
        <v>75</v>
      </c>
      <c r="D10" s="19">
        <v>1</v>
      </c>
      <c r="E10" s="19">
        <v>0</v>
      </c>
      <c r="F10" s="19">
        <f>VLOOKUP($A10, 'iterasi 1'!$A$2:$F$51, 6, FALSE)</f>
        <v>1</v>
      </c>
      <c r="G10" s="19">
        <f>VLOOKUP($A10, 'iterasi 2'!A:F, 6, FALSE)</f>
        <v>0</v>
      </c>
      <c r="H10" s="19">
        <f>VLOOKUP($A10, 'iterasi 3'!$A$2:$F$51, 6, FALSE)</f>
        <v>1</v>
      </c>
      <c r="I10" s="19">
        <f>VLOOKUP($A10, 'iterasi 4'!$A$2:$F$51, 6, FALSE)</f>
        <v>0</v>
      </c>
      <c r="J10" s="19">
        <f>VLOOKUP($A10, 'iterasi 5'!$A$2:$F$51, 6, FALSE)</f>
        <v>1</v>
      </c>
      <c r="K10" s="19">
        <f t="shared" si="0"/>
        <v>1</v>
      </c>
      <c r="L10" s="19" t="str">
        <f t="shared" si="1"/>
        <v>SALAH</v>
      </c>
    </row>
    <row r="11" spans="1:12" x14ac:dyDescent="0.35">
      <c r="A11" s="19">
        <v>10</v>
      </c>
      <c r="B11" s="19">
        <v>3.6</v>
      </c>
      <c r="C11" s="19">
        <v>92</v>
      </c>
      <c r="D11" s="19">
        <v>0</v>
      </c>
      <c r="E11" s="19">
        <v>1</v>
      </c>
      <c r="F11" s="19">
        <f>VLOOKUP($A11, 'iterasi 1'!$A$2:$F$51, 6, FALSE)</f>
        <v>1</v>
      </c>
      <c r="G11" s="19">
        <f>VLOOKUP($A11, 'iterasi 2'!A:F, 6, FALSE)</f>
        <v>1</v>
      </c>
      <c r="H11" s="19">
        <f>VLOOKUP($A11, 'iterasi 3'!$A$2:$F$51, 6, FALSE)</f>
        <v>0</v>
      </c>
      <c r="I11" s="19">
        <f>VLOOKUP($A11, 'iterasi 4'!$A$2:$F$51, 6, FALSE)</f>
        <v>1</v>
      </c>
      <c r="J11" s="19">
        <f>VLOOKUP($A11, 'iterasi 5'!$A$2:$F$51, 6, FALSE)</f>
        <v>1</v>
      </c>
      <c r="K11" s="19">
        <f t="shared" si="0"/>
        <v>1</v>
      </c>
      <c r="L11" s="19" t="str">
        <f t="shared" si="1"/>
        <v>BENAR</v>
      </c>
    </row>
    <row r="12" spans="1:12" x14ac:dyDescent="0.35">
      <c r="A12" s="19">
        <v>11</v>
      </c>
      <c r="B12" s="19">
        <v>2.7</v>
      </c>
      <c r="C12" s="19">
        <v>65</v>
      </c>
      <c r="D12" s="19">
        <v>1</v>
      </c>
      <c r="E12" s="19">
        <v>0</v>
      </c>
      <c r="F12" s="19">
        <f>VLOOKUP($A12, 'iterasi 1'!$A$2:$F$51, 6, FALSE)</f>
        <v>0</v>
      </c>
      <c r="G12" s="19">
        <f>VLOOKUP($A12, 'iterasi 2'!A:F, 6, FALSE)</f>
        <v>0</v>
      </c>
      <c r="H12" s="19">
        <f>VLOOKUP($A12, 'iterasi 3'!$A$2:$F$51, 6, FALSE)</f>
        <v>1</v>
      </c>
      <c r="I12" s="19">
        <f>VLOOKUP($A12, 'iterasi 4'!$A$2:$F$51, 6, FALSE)</f>
        <v>0</v>
      </c>
      <c r="J12" s="19">
        <f>VLOOKUP($A12, 'iterasi 5'!$A$2:$F$51, 6, FALSE)</f>
        <v>0</v>
      </c>
      <c r="K12" s="19">
        <f t="shared" si="0"/>
        <v>0</v>
      </c>
      <c r="L12" s="19" t="str">
        <f t="shared" si="1"/>
        <v>BENAR</v>
      </c>
    </row>
    <row r="13" spans="1:12" x14ac:dyDescent="0.35">
      <c r="A13" s="19">
        <v>12</v>
      </c>
      <c r="B13" s="19">
        <v>3.3</v>
      </c>
      <c r="C13" s="19">
        <v>85</v>
      </c>
      <c r="D13" s="19">
        <v>0</v>
      </c>
      <c r="E13" s="19">
        <v>1</v>
      </c>
      <c r="F13" s="19">
        <f>VLOOKUP($A13, 'iterasi 1'!$A$2:$F$51, 6, FALSE)</f>
        <v>1</v>
      </c>
      <c r="G13" s="19">
        <f>VLOOKUP($A13, 'iterasi 2'!A:F, 6, FALSE)</f>
        <v>1</v>
      </c>
      <c r="H13" s="19">
        <f>VLOOKUP($A13, 'iterasi 3'!$A$2:$F$51, 6, FALSE)</f>
        <v>0</v>
      </c>
      <c r="I13" s="19">
        <f>VLOOKUP($A13, 'iterasi 4'!$A$2:$F$51, 6, FALSE)</f>
        <v>0</v>
      </c>
      <c r="J13" s="19">
        <f>VLOOKUP($A13, 'iterasi 5'!$A$2:$F$51, 6, FALSE)</f>
        <v>1</v>
      </c>
      <c r="K13" s="19">
        <f t="shared" si="0"/>
        <v>1</v>
      </c>
      <c r="L13" s="19" t="str">
        <f t="shared" si="1"/>
        <v>BENAR</v>
      </c>
    </row>
    <row r="14" spans="1:12" x14ac:dyDescent="0.35">
      <c r="A14" s="19">
        <v>13</v>
      </c>
      <c r="B14" s="19">
        <v>3</v>
      </c>
      <c r="C14" s="19">
        <v>79.6875</v>
      </c>
      <c r="D14" s="19">
        <v>1</v>
      </c>
      <c r="E14" s="19">
        <v>1</v>
      </c>
      <c r="F14" s="19">
        <f>VLOOKUP($A14, 'iterasi 1'!$A$2:$F$51, 6, FALSE)</f>
        <v>1</v>
      </c>
      <c r="G14" s="19">
        <f>VLOOKUP($A14, 'iterasi 2'!A:F, 6, FALSE)</f>
        <v>0</v>
      </c>
      <c r="H14" s="19">
        <f>VLOOKUP($A14, 'iterasi 3'!$A$2:$F$51, 6, FALSE)</f>
        <v>1</v>
      </c>
      <c r="I14" s="19">
        <f>VLOOKUP($A14, 'iterasi 4'!$A$2:$F$51, 6, FALSE)</f>
        <v>0</v>
      </c>
      <c r="J14" s="19">
        <f>VLOOKUP($A14, 'iterasi 5'!$A$2:$F$51, 6, FALSE)</f>
        <v>1</v>
      </c>
      <c r="K14" s="19">
        <f t="shared" si="0"/>
        <v>1</v>
      </c>
      <c r="L14" s="19" t="str">
        <f t="shared" si="1"/>
        <v>BENAR</v>
      </c>
    </row>
    <row r="15" spans="1:12" x14ac:dyDescent="0.35">
      <c r="A15" s="19">
        <v>14</v>
      </c>
      <c r="B15" s="19">
        <v>2.4</v>
      </c>
      <c r="C15" s="19">
        <v>55</v>
      </c>
      <c r="D15" s="19">
        <v>1</v>
      </c>
      <c r="E15" s="19">
        <v>0</v>
      </c>
      <c r="F15" s="19">
        <f>VLOOKUP($A15, 'iterasi 1'!$A$2:$F$51, 6, FALSE)</f>
        <v>0</v>
      </c>
      <c r="G15" s="19">
        <f>VLOOKUP($A15, 'iterasi 2'!A:F, 6, FALSE)</f>
        <v>0</v>
      </c>
      <c r="H15" s="19">
        <f>VLOOKUP($A15, 'iterasi 3'!$A$2:$F$51, 6, FALSE)</f>
        <v>1</v>
      </c>
      <c r="I15" s="19">
        <f>VLOOKUP($A15, 'iterasi 4'!$A$2:$F$51, 6, FALSE)</f>
        <v>0</v>
      </c>
      <c r="J15" s="19">
        <f>VLOOKUP($A15, 'iterasi 5'!$A$2:$F$51, 6, FALSE)</f>
        <v>0</v>
      </c>
      <c r="K15" s="19">
        <f t="shared" si="0"/>
        <v>0</v>
      </c>
      <c r="L15" s="19" t="str">
        <f t="shared" si="1"/>
        <v>BENAR</v>
      </c>
    </row>
    <row r="16" spans="1:12" x14ac:dyDescent="0.35">
      <c r="A16" s="19">
        <v>15</v>
      </c>
      <c r="B16" s="19">
        <v>3.9</v>
      </c>
      <c r="C16" s="19">
        <v>100</v>
      </c>
      <c r="D16" s="19">
        <v>0</v>
      </c>
      <c r="E16" s="19">
        <v>1</v>
      </c>
      <c r="F16" s="19">
        <f>VLOOKUP($A16, 'iterasi 1'!$A$2:$F$51, 6, FALSE)</f>
        <v>1</v>
      </c>
      <c r="G16" s="19">
        <f>VLOOKUP($A16, 'iterasi 2'!A:F, 6, FALSE)</f>
        <v>1</v>
      </c>
      <c r="H16" s="19">
        <f>VLOOKUP($A16, 'iterasi 3'!$A$2:$F$51, 6, FALSE)</f>
        <v>0</v>
      </c>
      <c r="I16" s="19">
        <f>VLOOKUP($A16, 'iterasi 4'!$A$2:$F$51, 6, FALSE)</f>
        <v>1</v>
      </c>
      <c r="J16" s="19">
        <f>VLOOKUP($A16, 'iterasi 5'!$A$2:$F$51, 6, FALSE)</f>
        <v>1</v>
      </c>
      <c r="K16" s="19">
        <f t="shared" si="0"/>
        <v>1</v>
      </c>
      <c r="L16" s="19" t="str">
        <f t="shared" si="1"/>
        <v>BENAR</v>
      </c>
    </row>
    <row r="17" spans="1:12" x14ac:dyDescent="0.35">
      <c r="A17" s="19">
        <v>16</v>
      </c>
      <c r="B17" s="19">
        <v>3.25</v>
      </c>
      <c r="C17" s="19">
        <v>82</v>
      </c>
      <c r="D17" s="19">
        <v>0</v>
      </c>
      <c r="E17" s="19">
        <v>1</v>
      </c>
      <c r="F17" s="19">
        <f>VLOOKUP($A17, 'iterasi 1'!$A$2:$F$51, 6, FALSE)</f>
        <v>1</v>
      </c>
      <c r="G17" s="19">
        <f>VLOOKUP($A17, 'iterasi 2'!A:F, 6, FALSE)</f>
        <v>1</v>
      </c>
      <c r="H17" s="19">
        <f>VLOOKUP($A17, 'iterasi 3'!$A$2:$F$51, 6, FALSE)</f>
        <v>0</v>
      </c>
      <c r="I17" s="19">
        <f>VLOOKUP($A17, 'iterasi 4'!$A$2:$F$51, 6, FALSE)</f>
        <v>0</v>
      </c>
      <c r="J17" s="19">
        <f>VLOOKUP($A17, 'iterasi 5'!$A$2:$F$51, 6, FALSE)</f>
        <v>1</v>
      </c>
      <c r="K17" s="19">
        <f t="shared" si="0"/>
        <v>1</v>
      </c>
      <c r="L17" s="19" t="str">
        <f t="shared" si="1"/>
        <v>BENAR</v>
      </c>
    </row>
    <row r="18" spans="1:12" x14ac:dyDescent="0.35">
      <c r="A18" s="19">
        <v>17</v>
      </c>
      <c r="B18" s="19">
        <v>2.65</v>
      </c>
      <c r="C18" s="19">
        <v>70</v>
      </c>
      <c r="D18" s="19">
        <v>1</v>
      </c>
      <c r="E18" s="19">
        <v>0</v>
      </c>
      <c r="F18" s="19">
        <f>VLOOKUP($A18, 'iterasi 1'!$A$2:$F$51, 6, FALSE)</f>
        <v>0</v>
      </c>
      <c r="G18" s="19">
        <f>VLOOKUP($A18, 'iterasi 2'!A:F, 6, FALSE)</f>
        <v>0</v>
      </c>
      <c r="H18" s="19">
        <f>VLOOKUP($A18, 'iterasi 3'!$A$2:$F$51, 6, FALSE)</f>
        <v>1</v>
      </c>
      <c r="I18" s="19">
        <f>VLOOKUP($A18, 'iterasi 4'!$A$2:$F$51, 6, FALSE)</f>
        <v>0</v>
      </c>
      <c r="J18" s="19">
        <f>VLOOKUP($A18, 'iterasi 5'!$A$2:$F$51, 6, FALSE)</f>
        <v>1</v>
      </c>
      <c r="K18" s="19">
        <f t="shared" si="0"/>
        <v>0</v>
      </c>
      <c r="L18" s="19" t="str">
        <f t="shared" si="1"/>
        <v>BENAR</v>
      </c>
    </row>
    <row r="19" spans="1:12" x14ac:dyDescent="0.35">
      <c r="A19" s="19">
        <v>18</v>
      </c>
      <c r="B19" s="19">
        <v>3.15</v>
      </c>
      <c r="C19" s="19">
        <v>78</v>
      </c>
      <c r="D19" s="19">
        <v>1</v>
      </c>
      <c r="E19" s="19">
        <v>1</v>
      </c>
      <c r="F19" s="19">
        <f>VLOOKUP($A19, 'iterasi 1'!$A$2:$F$51, 6, FALSE)</f>
        <v>1</v>
      </c>
      <c r="G19" s="19">
        <f>VLOOKUP($A19, 'iterasi 2'!A:F, 6, FALSE)</f>
        <v>0</v>
      </c>
      <c r="H19" s="19">
        <f>VLOOKUP($A19, 'iterasi 3'!$A$2:$F$51, 6, FALSE)</f>
        <v>1</v>
      </c>
      <c r="I19" s="19">
        <f>VLOOKUP($A19, 'iterasi 4'!$A$2:$F$51, 6, FALSE)</f>
        <v>0</v>
      </c>
      <c r="J19" s="19">
        <f>VLOOKUP($A19, 'iterasi 5'!$A$2:$F$51, 6, FALSE)</f>
        <v>1</v>
      </c>
      <c r="K19" s="19">
        <f t="shared" si="0"/>
        <v>1</v>
      </c>
      <c r="L19" s="19" t="str">
        <f t="shared" si="1"/>
        <v>BENAR</v>
      </c>
    </row>
    <row r="20" spans="1:12" x14ac:dyDescent="0.35">
      <c r="A20" s="19">
        <v>19</v>
      </c>
      <c r="B20" s="19">
        <v>3.45</v>
      </c>
      <c r="C20" s="19">
        <v>90</v>
      </c>
      <c r="D20" s="19">
        <v>0</v>
      </c>
      <c r="E20" s="19">
        <v>1</v>
      </c>
      <c r="F20" s="19">
        <f>VLOOKUP($A20, 'iterasi 1'!$A$2:$F$51, 6, FALSE)</f>
        <v>1</v>
      </c>
      <c r="G20" s="19">
        <f>VLOOKUP($A20, 'iterasi 2'!A:F, 6, FALSE)</f>
        <v>1</v>
      </c>
      <c r="H20" s="19">
        <f>VLOOKUP($A20, 'iterasi 3'!$A$2:$F$51, 6, FALSE)</f>
        <v>0</v>
      </c>
      <c r="I20" s="19">
        <f>VLOOKUP($A20, 'iterasi 4'!$A$2:$F$51, 6, FALSE)</f>
        <v>1</v>
      </c>
      <c r="J20" s="19">
        <f>VLOOKUP($A20, 'iterasi 5'!$A$2:$F$51, 6, FALSE)</f>
        <v>1</v>
      </c>
      <c r="K20" s="19">
        <f t="shared" si="0"/>
        <v>1</v>
      </c>
      <c r="L20" s="19" t="str">
        <f t="shared" si="1"/>
        <v>BENAR</v>
      </c>
    </row>
    <row r="21" spans="1:12" x14ac:dyDescent="0.35">
      <c r="A21" s="19">
        <v>20</v>
      </c>
      <c r="B21" s="19">
        <v>2.85</v>
      </c>
      <c r="C21" s="19">
        <v>72</v>
      </c>
      <c r="D21" s="19">
        <v>1</v>
      </c>
      <c r="E21" s="19">
        <v>0</v>
      </c>
      <c r="F21" s="19">
        <f>VLOOKUP($A21, 'iterasi 1'!$A$2:$F$51, 6, FALSE)</f>
        <v>0</v>
      </c>
      <c r="G21" s="19">
        <f>VLOOKUP($A21, 'iterasi 2'!A:F, 6, FALSE)</f>
        <v>0</v>
      </c>
      <c r="H21" s="19">
        <f>VLOOKUP($A21, 'iterasi 3'!$A$2:$F$51, 6, FALSE)</f>
        <v>1</v>
      </c>
      <c r="I21" s="19">
        <f>VLOOKUP($A21, 'iterasi 4'!$A$2:$F$51, 6, FALSE)</f>
        <v>0</v>
      </c>
      <c r="J21" s="19">
        <f>VLOOKUP($A21, 'iterasi 5'!$A$2:$F$51, 6, FALSE)</f>
        <v>1</v>
      </c>
      <c r="K21" s="19">
        <f t="shared" si="0"/>
        <v>0</v>
      </c>
      <c r="L21" s="19" t="str">
        <f t="shared" si="1"/>
        <v>BENAR</v>
      </c>
    </row>
    <row r="22" spans="1:12" x14ac:dyDescent="0.35">
      <c r="A22" s="19">
        <v>21</v>
      </c>
      <c r="B22" s="19">
        <v>3.7</v>
      </c>
      <c r="C22" s="19">
        <v>94</v>
      </c>
      <c r="D22" s="19">
        <v>0</v>
      </c>
      <c r="E22" s="19">
        <v>1</v>
      </c>
      <c r="F22" s="19">
        <f>VLOOKUP($A22, 'iterasi 1'!$A$2:$F$51, 6, FALSE)</f>
        <v>1</v>
      </c>
      <c r="G22" s="19">
        <f>VLOOKUP($A22, 'iterasi 2'!A:F, 6, FALSE)</f>
        <v>1</v>
      </c>
      <c r="H22" s="19">
        <f>VLOOKUP($A22, 'iterasi 3'!$A$2:$F$51, 6, FALSE)</f>
        <v>0</v>
      </c>
      <c r="I22" s="19">
        <f>VLOOKUP($A22, 'iterasi 4'!$A$2:$F$51, 6, FALSE)</f>
        <v>1</v>
      </c>
      <c r="J22" s="19">
        <f>VLOOKUP($A22, 'iterasi 5'!$A$2:$F$51, 6, FALSE)</f>
        <v>1</v>
      </c>
      <c r="K22" s="19">
        <f t="shared" si="0"/>
        <v>1</v>
      </c>
      <c r="L22" s="19" t="str">
        <f t="shared" si="1"/>
        <v>BENAR</v>
      </c>
    </row>
    <row r="23" spans="1:12" x14ac:dyDescent="0.35">
      <c r="A23" s="19">
        <v>22</v>
      </c>
      <c r="B23" s="19">
        <v>2.5499999999999998</v>
      </c>
      <c r="C23" s="19">
        <v>62</v>
      </c>
      <c r="D23" s="19">
        <v>1</v>
      </c>
      <c r="E23" s="19">
        <v>0</v>
      </c>
      <c r="F23" s="19">
        <f>VLOOKUP($A23, 'iterasi 1'!$A$2:$F$51, 6, FALSE)</f>
        <v>0</v>
      </c>
      <c r="G23" s="19">
        <f>VLOOKUP($A23, 'iterasi 2'!A:F, 6, FALSE)</f>
        <v>0</v>
      </c>
      <c r="H23" s="19">
        <f>VLOOKUP($A23, 'iterasi 3'!$A$2:$F$51, 6, FALSE)</f>
        <v>1</v>
      </c>
      <c r="I23" s="19">
        <f>VLOOKUP($A23, 'iterasi 4'!$A$2:$F$51, 6, FALSE)</f>
        <v>0</v>
      </c>
      <c r="J23" s="19">
        <f>VLOOKUP($A23, 'iterasi 5'!$A$2:$F$51, 6, FALSE)</f>
        <v>0</v>
      </c>
      <c r="K23" s="19">
        <f t="shared" si="0"/>
        <v>0</v>
      </c>
      <c r="L23" s="19" t="str">
        <f t="shared" si="1"/>
        <v>BENAR</v>
      </c>
    </row>
    <row r="24" spans="1:12" x14ac:dyDescent="0.35">
      <c r="A24" s="19">
        <v>23</v>
      </c>
      <c r="B24" s="19">
        <v>3.05</v>
      </c>
      <c r="C24" s="19">
        <v>80</v>
      </c>
      <c r="D24" s="19">
        <v>1</v>
      </c>
      <c r="E24" s="19">
        <v>1</v>
      </c>
      <c r="F24" s="19">
        <f>VLOOKUP($A24, 'iterasi 1'!$A$2:$F$51, 6, FALSE)</f>
        <v>1</v>
      </c>
      <c r="G24" s="19">
        <f>VLOOKUP($A24, 'iterasi 2'!A:F, 6, FALSE)</f>
        <v>1</v>
      </c>
      <c r="H24" s="19">
        <f>VLOOKUP($A24, 'iterasi 3'!$A$2:$F$51, 6, FALSE)</f>
        <v>1</v>
      </c>
      <c r="I24" s="19">
        <f>VLOOKUP($A24, 'iterasi 4'!$A$2:$F$51, 6, FALSE)</f>
        <v>0</v>
      </c>
      <c r="J24" s="19">
        <f>VLOOKUP($A24, 'iterasi 5'!$A$2:$F$51, 6, FALSE)</f>
        <v>1</v>
      </c>
      <c r="K24" s="19">
        <f t="shared" si="0"/>
        <v>1</v>
      </c>
      <c r="L24" s="19" t="str">
        <f t="shared" si="1"/>
        <v>BENAR</v>
      </c>
    </row>
    <row r="25" spans="1:12" x14ac:dyDescent="0.35">
      <c r="A25" s="19">
        <v>24</v>
      </c>
      <c r="B25" s="19">
        <v>3.35</v>
      </c>
      <c r="C25" s="19">
        <v>87</v>
      </c>
      <c r="D25" s="19">
        <v>0</v>
      </c>
      <c r="E25" s="19">
        <v>1</v>
      </c>
      <c r="F25" s="19">
        <f>VLOOKUP($A25, 'iterasi 1'!$A$2:$F$51, 6, FALSE)</f>
        <v>1</v>
      </c>
      <c r="G25" s="19">
        <f>VLOOKUP($A25, 'iterasi 2'!A:F, 6, FALSE)</f>
        <v>1</v>
      </c>
      <c r="H25" s="19">
        <f>VLOOKUP($A25, 'iterasi 3'!$A$2:$F$51, 6, FALSE)</f>
        <v>0</v>
      </c>
      <c r="I25" s="19">
        <f>VLOOKUP($A25, 'iterasi 4'!$A$2:$F$51, 6, FALSE)</f>
        <v>0</v>
      </c>
      <c r="J25" s="19">
        <f>VLOOKUP($A25, 'iterasi 5'!$A$2:$F$51, 6, FALSE)</f>
        <v>1</v>
      </c>
      <c r="K25" s="19">
        <f t="shared" si="0"/>
        <v>1</v>
      </c>
      <c r="L25" s="19" t="str">
        <f t="shared" si="1"/>
        <v>BENAR</v>
      </c>
    </row>
    <row r="26" spans="1:12" x14ac:dyDescent="0.35">
      <c r="A26" s="19">
        <v>25</v>
      </c>
      <c r="B26" s="19">
        <v>2.95</v>
      </c>
      <c r="C26" s="19">
        <v>74</v>
      </c>
      <c r="D26" s="19">
        <v>1</v>
      </c>
      <c r="E26" s="19">
        <v>0</v>
      </c>
      <c r="F26" s="19">
        <f>VLOOKUP($A26, 'iterasi 1'!$A$2:$F$51, 6, FALSE)</f>
        <v>0</v>
      </c>
      <c r="G26" s="19">
        <f>VLOOKUP($A26, 'iterasi 2'!A:F, 6, FALSE)</f>
        <v>0</v>
      </c>
      <c r="H26" s="19">
        <f>VLOOKUP($A26, 'iterasi 3'!$A$2:$F$51, 6, FALSE)</f>
        <v>1</v>
      </c>
      <c r="I26" s="19">
        <f>VLOOKUP($A26, 'iterasi 4'!$A$2:$F$51, 6, FALSE)</f>
        <v>0</v>
      </c>
      <c r="J26" s="19">
        <f>VLOOKUP($A26, 'iterasi 5'!$A$2:$F$51, 6, FALSE)</f>
        <v>1</v>
      </c>
      <c r="K26" s="19">
        <f t="shared" si="0"/>
        <v>0</v>
      </c>
      <c r="L26" s="19" t="str">
        <f t="shared" si="1"/>
        <v>BENAR</v>
      </c>
    </row>
    <row r="27" spans="1:12" x14ac:dyDescent="0.35">
      <c r="A27" s="19">
        <v>26</v>
      </c>
      <c r="B27" s="19">
        <v>3.55</v>
      </c>
      <c r="C27" s="19">
        <v>91</v>
      </c>
      <c r="D27" s="19">
        <v>0</v>
      </c>
      <c r="E27" s="19">
        <v>1</v>
      </c>
      <c r="F27" s="19">
        <f>VLOOKUP($A27, 'iterasi 1'!$A$2:$F$51, 6, FALSE)</f>
        <v>1</v>
      </c>
      <c r="G27" s="19">
        <f>VLOOKUP($A27, 'iterasi 2'!A:F, 6, FALSE)</f>
        <v>1</v>
      </c>
      <c r="H27" s="19">
        <f>VLOOKUP($A27, 'iterasi 3'!$A$2:$F$51, 6, FALSE)</f>
        <v>0</v>
      </c>
      <c r="I27" s="19">
        <f>VLOOKUP($A27, 'iterasi 4'!$A$2:$F$51, 6, FALSE)</f>
        <v>1</v>
      </c>
      <c r="J27" s="19">
        <f>VLOOKUP($A27, 'iterasi 5'!$A$2:$F$51, 6, FALSE)</f>
        <v>1</v>
      </c>
      <c r="K27" s="19">
        <f t="shared" si="0"/>
        <v>1</v>
      </c>
      <c r="L27" s="19" t="str">
        <f t="shared" si="1"/>
        <v>BENAR</v>
      </c>
    </row>
    <row r="28" spans="1:12" x14ac:dyDescent="0.35">
      <c r="A28" s="19">
        <v>27</v>
      </c>
      <c r="B28" s="19">
        <v>2.75</v>
      </c>
      <c r="C28" s="19">
        <v>68</v>
      </c>
      <c r="D28" s="19">
        <v>1</v>
      </c>
      <c r="E28" s="19">
        <v>0</v>
      </c>
      <c r="F28" s="19">
        <f>VLOOKUP($A28, 'iterasi 1'!$A$2:$F$51, 6, FALSE)</f>
        <v>0</v>
      </c>
      <c r="G28" s="19">
        <f>VLOOKUP($A28, 'iterasi 2'!A:F, 6, FALSE)</f>
        <v>0</v>
      </c>
      <c r="H28" s="19">
        <f>VLOOKUP($A28, 'iterasi 3'!$A$2:$F$51, 6, FALSE)</f>
        <v>1</v>
      </c>
      <c r="I28" s="19">
        <f>VLOOKUP($A28, 'iterasi 4'!$A$2:$F$51, 6, FALSE)</f>
        <v>0</v>
      </c>
      <c r="J28" s="19">
        <f>VLOOKUP($A28, 'iterasi 5'!$A$2:$F$51, 6, FALSE)</f>
        <v>0</v>
      </c>
      <c r="K28" s="19">
        <f t="shared" si="0"/>
        <v>0</v>
      </c>
      <c r="L28" s="19" t="str">
        <f t="shared" si="1"/>
        <v>BENAR</v>
      </c>
    </row>
    <row r="29" spans="1:12" x14ac:dyDescent="0.35">
      <c r="A29" s="19">
        <v>28</v>
      </c>
      <c r="B29" s="19">
        <v>3.28</v>
      </c>
      <c r="C29" s="19">
        <v>84</v>
      </c>
      <c r="D29" s="19">
        <v>0</v>
      </c>
      <c r="E29" s="19">
        <v>1</v>
      </c>
      <c r="F29" s="19">
        <f>VLOOKUP($A29, 'iterasi 1'!$A$2:$F$51, 6, FALSE)</f>
        <v>1</v>
      </c>
      <c r="G29" s="19">
        <f>VLOOKUP($A29, 'iterasi 2'!A:F, 6, FALSE)</f>
        <v>1</v>
      </c>
      <c r="H29" s="19">
        <f>VLOOKUP($A29, 'iterasi 3'!$A$2:$F$51, 6, FALSE)</f>
        <v>0</v>
      </c>
      <c r="I29" s="19">
        <f>VLOOKUP($A29, 'iterasi 4'!$A$2:$F$51, 6, FALSE)</f>
        <v>0</v>
      </c>
      <c r="J29" s="19">
        <f>VLOOKUP($A29, 'iterasi 5'!$A$2:$F$51, 6, FALSE)</f>
        <v>1</v>
      </c>
      <c r="K29" s="19">
        <f t="shared" si="0"/>
        <v>1</v>
      </c>
      <c r="L29" s="19" t="str">
        <f t="shared" si="1"/>
        <v>BENAR</v>
      </c>
    </row>
    <row r="30" spans="1:12" x14ac:dyDescent="0.35">
      <c r="A30" s="19">
        <v>29</v>
      </c>
      <c r="B30" s="19">
        <v>3.1377083333333329</v>
      </c>
      <c r="C30" s="19">
        <v>80</v>
      </c>
      <c r="D30" s="19">
        <v>1</v>
      </c>
      <c r="E30" s="19">
        <v>1</v>
      </c>
      <c r="F30" s="19">
        <f>VLOOKUP($A30, 'iterasi 1'!$A$2:$F$51, 6, FALSE)</f>
        <v>1</v>
      </c>
      <c r="G30" s="19">
        <f>VLOOKUP($A30, 'iterasi 2'!A:F, 6, FALSE)</f>
        <v>1</v>
      </c>
      <c r="H30" s="19">
        <f>VLOOKUP($A30, 'iterasi 3'!$A$2:$F$51, 6, FALSE)</f>
        <v>1</v>
      </c>
      <c r="I30" s="19">
        <f>VLOOKUP($A30, 'iterasi 4'!$A$2:$F$51, 6, FALSE)</f>
        <v>0</v>
      </c>
      <c r="J30" s="19">
        <f>VLOOKUP($A30, 'iterasi 5'!$A$2:$F$51, 6, FALSE)</f>
        <v>1</v>
      </c>
      <c r="K30" s="19">
        <f t="shared" si="0"/>
        <v>1</v>
      </c>
      <c r="L30" s="19" t="str">
        <f t="shared" si="1"/>
        <v>BENAR</v>
      </c>
    </row>
    <row r="31" spans="1:12" x14ac:dyDescent="0.35">
      <c r="A31" s="19">
        <v>30</v>
      </c>
      <c r="B31" s="19">
        <v>3.65</v>
      </c>
      <c r="C31" s="19">
        <v>93</v>
      </c>
      <c r="D31" s="19">
        <v>0</v>
      </c>
      <c r="E31" s="19">
        <v>1</v>
      </c>
      <c r="F31" s="19">
        <f>VLOOKUP($A31, 'iterasi 1'!$A$2:$F$51, 6, FALSE)</f>
        <v>1</v>
      </c>
      <c r="G31" s="19">
        <f>VLOOKUP($A31, 'iterasi 2'!A:F, 6, FALSE)</f>
        <v>1</v>
      </c>
      <c r="H31" s="19">
        <f>VLOOKUP($A31, 'iterasi 3'!$A$2:$F$51, 6, FALSE)</f>
        <v>0</v>
      </c>
      <c r="I31" s="19">
        <f>VLOOKUP($A31, 'iterasi 4'!$A$2:$F$51, 6, FALSE)</f>
        <v>1</v>
      </c>
      <c r="J31" s="19">
        <f>VLOOKUP($A31, 'iterasi 5'!$A$2:$F$51, 6, FALSE)</f>
        <v>1</v>
      </c>
      <c r="K31" s="19">
        <f t="shared" si="0"/>
        <v>1</v>
      </c>
      <c r="L31" s="19" t="str">
        <f t="shared" si="1"/>
        <v>BENAR</v>
      </c>
    </row>
    <row r="32" spans="1:12" x14ac:dyDescent="0.35">
      <c r="A32" s="19">
        <v>31</v>
      </c>
      <c r="B32" s="19">
        <v>2.4500000000000002</v>
      </c>
      <c r="C32" s="19">
        <v>58</v>
      </c>
      <c r="D32" s="19">
        <v>1</v>
      </c>
      <c r="E32" s="19">
        <v>0</v>
      </c>
      <c r="F32" s="19">
        <f>VLOOKUP($A32, 'iterasi 1'!$A$2:$F$51, 6, FALSE)</f>
        <v>0</v>
      </c>
      <c r="G32" s="19">
        <f>VLOOKUP($A32, 'iterasi 2'!A:F, 6, FALSE)</f>
        <v>0</v>
      </c>
      <c r="H32" s="19">
        <f>VLOOKUP($A32, 'iterasi 3'!$A$2:$F$51, 6, FALSE)</f>
        <v>1</v>
      </c>
      <c r="I32" s="19">
        <f>VLOOKUP($A32, 'iterasi 4'!$A$2:$F$51, 6, FALSE)</f>
        <v>0</v>
      </c>
      <c r="J32" s="19">
        <f>VLOOKUP($A32, 'iterasi 5'!$A$2:$F$51, 6, FALSE)</f>
        <v>0</v>
      </c>
      <c r="K32" s="19">
        <f t="shared" si="0"/>
        <v>0</v>
      </c>
      <c r="L32" s="19" t="str">
        <f t="shared" si="1"/>
        <v>BENAR</v>
      </c>
    </row>
    <row r="33" spans="1:12" x14ac:dyDescent="0.35">
      <c r="A33" s="19">
        <v>32</v>
      </c>
      <c r="B33" s="19">
        <v>3.12</v>
      </c>
      <c r="C33" s="19">
        <v>79</v>
      </c>
      <c r="D33" s="19">
        <v>1</v>
      </c>
      <c r="E33" s="19">
        <v>1</v>
      </c>
      <c r="F33" s="19">
        <f>VLOOKUP($A33, 'iterasi 1'!$A$2:$F$51, 6, FALSE)</f>
        <v>1</v>
      </c>
      <c r="G33" s="19">
        <f>VLOOKUP($A33, 'iterasi 2'!A:F, 6, FALSE)</f>
        <v>0</v>
      </c>
      <c r="H33" s="19">
        <f>VLOOKUP($A33, 'iterasi 3'!$A$2:$F$51, 6, FALSE)</f>
        <v>1</v>
      </c>
      <c r="I33" s="19">
        <f>VLOOKUP($A33, 'iterasi 4'!$A$2:$F$51, 6, FALSE)</f>
        <v>0</v>
      </c>
      <c r="J33" s="19">
        <f>VLOOKUP($A33, 'iterasi 5'!$A$2:$F$51, 6, FALSE)</f>
        <v>1</v>
      </c>
      <c r="K33" s="19">
        <f t="shared" si="0"/>
        <v>1</v>
      </c>
      <c r="L33" s="19" t="str">
        <f t="shared" si="1"/>
        <v>BENAR</v>
      </c>
    </row>
    <row r="34" spans="1:12" x14ac:dyDescent="0.35">
      <c r="A34" s="19">
        <v>33</v>
      </c>
      <c r="B34" s="19">
        <v>3.42</v>
      </c>
      <c r="C34" s="19">
        <v>89</v>
      </c>
      <c r="D34" s="19">
        <v>0</v>
      </c>
      <c r="E34" s="19">
        <v>1</v>
      </c>
      <c r="F34" s="19">
        <f>VLOOKUP($A34, 'iterasi 1'!$A$2:$F$51, 6, FALSE)</f>
        <v>1</v>
      </c>
      <c r="G34" s="19">
        <f>VLOOKUP($A34, 'iterasi 2'!A:F, 6, FALSE)</f>
        <v>1</v>
      </c>
      <c r="H34" s="19">
        <f>VLOOKUP($A34, 'iterasi 3'!$A$2:$F$51, 6, FALSE)</f>
        <v>0</v>
      </c>
      <c r="I34" s="19">
        <f>VLOOKUP($A34, 'iterasi 4'!$A$2:$F$51, 6, FALSE)</f>
        <v>1</v>
      </c>
      <c r="J34" s="19">
        <f>VLOOKUP($A34, 'iterasi 5'!$A$2:$F$51, 6, FALSE)</f>
        <v>1</v>
      </c>
      <c r="K34" s="19">
        <f t="shared" si="0"/>
        <v>1</v>
      </c>
      <c r="L34" s="19" t="str">
        <f t="shared" si="1"/>
        <v>BENAR</v>
      </c>
    </row>
    <row r="35" spans="1:12" x14ac:dyDescent="0.35">
      <c r="A35" s="19">
        <v>34</v>
      </c>
      <c r="B35" s="19">
        <v>2.88</v>
      </c>
      <c r="C35" s="19">
        <v>73</v>
      </c>
      <c r="D35" s="19">
        <v>1</v>
      </c>
      <c r="E35" s="19">
        <v>0</v>
      </c>
      <c r="F35" s="19">
        <f>VLOOKUP($A35, 'iterasi 1'!$A$2:$F$51, 6, FALSE)</f>
        <v>0</v>
      </c>
      <c r="G35" s="19">
        <f>VLOOKUP($A35, 'iterasi 2'!A:F, 6, FALSE)</f>
        <v>0</v>
      </c>
      <c r="H35" s="19">
        <f>VLOOKUP($A35, 'iterasi 3'!$A$2:$F$51, 6, FALSE)</f>
        <v>1</v>
      </c>
      <c r="I35" s="19">
        <f>VLOOKUP($A35, 'iterasi 4'!$A$2:$F$51, 6, FALSE)</f>
        <v>0</v>
      </c>
      <c r="J35" s="19">
        <f>VLOOKUP($A35, 'iterasi 5'!$A$2:$F$51, 6, FALSE)</f>
        <v>1</v>
      </c>
      <c r="K35" s="19">
        <f t="shared" si="0"/>
        <v>0</v>
      </c>
      <c r="L35" s="19" t="str">
        <f t="shared" si="1"/>
        <v>BENAR</v>
      </c>
    </row>
    <row r="36" spans="1:12" x14ac:dyDescent="0.35">
      <c r="A36" s="19">
        <v>35</v>
      </c>
      <c r="B36" s="19">
        <v>3.75</v>
      </c>
      <c r="C36" s="19">
        <v>96</v>
      </c>
      <c r="D36" s="19">
        <v>0</v>
      </c>
      <c r="E36" s="19">
        <v>1</v>
      </c>
      <c r="F36" s="19">
        <f>VLOOKUP($A36, 'iterasi 1'!$A$2:$F$51, 6, FALSE)</f>
        <v>1</v>
      </c>
      <c r="G36" s="19">
        <f>VLOOKUP($A36, 'iterasi 2'!A:F, 6, FALSE)</f>
        <v>1</v>
      </c>
      <c r="H36" s="19">
        <f>VLOOKUP($A36, 'iterasi 3'!$A$2:$F$51, 6, FALSE)</f>
        <v>0</v>
      </c>
      <c r="I36" s="19">
        <f>VLOOKUP($A36, 'iterasi 4'!$A$2:$F$51, 6, FALSE)</f>
        <v>1</v>
      </c>
      <c r="J36" s="19">
        <f>VLOOKUP($A36, 'iterasi 5'!$A$2:$F$51, 6, FALSE)</f>
        <v>1</v>
      </c>
      <c r="K36" s="19">
        <f t="shared" si="0"/>
        <v>1</v>
      </c>
      <c r="L36" s="19" t="str">
        <f t="shared" si="1"/>
        <v>BENAR</v>
      </c>
    </row>
    <row r="37" spans="1:12" x14ac:dyDescent="0.35">
      <c r="A37" s="19">
        <v>36</v>
      </c>
      <c r="B37" s="19">
        <v>2.6</v>
      </c>
      <c r="C37" s="19">
        <v>63</v>
      </c>
      <c r="D37" s="19">
        <v>1</v>
      </c>
      <c r="E37" s="19">
        <v>0</v>
      </c>
      <c r="F37" s="19">
        <f>VLOOKUP($A37, 'iterasi 1'!$A$2:$F$51, 6, FALSE)</f>
        <v>0</v>
      </c>
      <c r="G37" s="19">
        <f>VLOOKUP($A37, 'iterasi 2'!A:F, 6, FALSE)</f>
        <v>0</v>
      </c>
      <c r="H37" s="19">
        <f>VLOOKUP($A37, 'iterasi 3'!$A$2:$F$51, 6, FALSE)</f>
        <v>1</v>
      </c>
      <c r="I37" s="19">
        <f>VLOOKUP($A37, 'iterasi 4'!$A$2:$F$51, 6, FALSE)</f>
        <v>0</v>
      </c>
      <c r="J37" s="19">
        <f>VLOOKUP($A37, 'iterasi 5'!$A$2:$F$51, 6, FALSE)</f>
        <v>0</v>
      </c>
      <c r="K37" s="19">
        <f t="shared" si="0"/>
        <v>0</v>
      </c>
      <c r="L37" s="19" t="str">
        <f t="shared" si="1"/>
        <v>BENAR</v>
      </c>
    </row>
    <row r="38" spans="1:12" x14ac:dyDescent="0.35">
      <c r="A38" s="19">
        <v>37</v>
      </c>
      <c r="B38" s="19">
        <v>3.08</v>
      </c>
      <c r="C38" s="19">
        <v>81</v>
      </c>
      <c r="D38" s="19">
        <v>1</v>
      </c>
      <c r="E38" s="19">
        <v>1</v>
      </c>
      <c r="F38" s="19">
        <f>VLOOKUP($A38, 'iterasi 1'!$A$2:$F$51, 6, FALSE)</f>
        <v>1</v>
      </c>
      <c r="G38" s="19">
        <f>VLOOKUP($A38, 'iterasi 2'!A:F, 6, FALSE)</f>
        <v>1</v>
      </c>
      <c r="H38" s="19">
        <f>VLOOKUP($A38, 'iterasi 3'!$A$2:$F$51, 6, FALSE)</f>
        <v>1</v>
      </c>
      <c r="I38" s="19">
        <f>VLOOKUP($A38, 'iterasi 4'!$A$2:$F$51, 6, FALSE)</f>
        <v>0</v>
      </c>
      <c r="J38" s="19">
        <f>VLOOKUP($A38, 'iterasi 5'!$A$2:$F$51, 6, FALSE)</f>
        <v>1</v>
      </c>
      <c r="K38" s="19">
        <f t="shared" si="0"/>
        <v>1</v>
      </c>
      <c r="L38" s="19" t="str">
        <f t="shared" si="1"/>
        <v>BENAR</v>
      </c>
    </row>
    <row r="39" spans="1:12" x14ac:dyDescent="0.35">
      <c r="A39" s="19">
        <v>38</v>
      </c>
      <c r="B39" s="19">
        <v>3.38</v>
      </c>
      <c r="C39" s="19">
        <v>86</v>
      </c>
      <c r="D39" s="19">
        <v>0</v>
      </c>
      <c r="E39" s="19">
        <v>1</v>
      </c>
      <c r="F39" s="19">
        <f>VLOOKUP($A39, 'iterasi 1'!$A$2:$F$51, 6, FALSE)</f>
        <v>1</v>
      </c>
      <c r="G39" s="19">
        <f>VLOOKUP($A39, 'iterasi 2'!A:F, 6, FALSE)</f>
        <v>1</v>
      </c>
      <c r="H39" s="19">
        <f>VLOOKUP($A39, 'iterasi 3'!$A$2:$F$51, 6, FALSE)</f>
        <v>0</v>
      </c>
      <c r="I39" s="19">
        <f>VLOOKUP($A39, 'iterasi 4'!$A$2:$F$51, 6, FALSE)</f>
        <v>0</v>
      </c>
      <c r="J39" s="19">
        <f>VLOOKUP($A39, 'iterasi 5'!$A$2:$F$51, 6, FALSE)</f>
        <v>1</v>
      </c>
      <c r="K39" s="19">
        <f t="shared" si="0"/>
        <v>1</v>
      </c>
      <c r="L39" s="19" t="str">
        <f t="shared" si="1"/>
        <v>BENAR</v>
      </c>
    </row>
    <row r="40" spans="1:12" x14ac:dyDescent="0.35">
      <c r="A40" s="19">
        <v>39</v>
      </c>
      <c r="B40" s="19">
        <v>2.92</v>
      </c>
      <c r="C40" s="19">
        <v>71</v>
      </c>
      <c r="D40" s="19">
        <v>1</v>
      </c>
      <c r="E40" s="19">
        <v>0</v>
      </c>
      <c r="F40" s="19">
        <f>VLOOKUP($A40, 'iterasi 1'!$A$2:$F$51, 6, FALSE)</f>
        <v>0</v>
      </c>
      <c r="G40" s="19">
        <f>VLOOKUP($A40, 'iterasi 2'!A:F, 6, FALSE)</f>
        <v>0</v>
      </c>
      <c r="H40" s="19">
        <f>VLOOKUP($A40, 'iterasi 3'!$A$2:$F$51, 6, FALSE)</f>
        <v>1</v>
      </c>
      <c r="I40" s="19">
        <f>VLOOKUP($A40, 'iterasi 4'!$A$2:$F$51, 6, FALSE)</f>
        <v>0</v>
      </c>
      <c r="J40" s="19">
        <f>VLOOKUP($A40, 'iterasi 5'!$A$2:$F$51, 6, FALSE)</f>
        <v>1</v>
      </c>
      <c r="K40" s="19">
        <f t="shared" si="0"/>
        <v>0</v>
      </c>
      <c r="L40" s="19" t="str">
        <f t="shared" si="1"/>
        <v>BENAR</v>
      </c>
    </row>
    <row r="41" spans="1:12" x14ac:dyDescent="0.35">
      <c r="A41" s="19">
        <v>40</v>
      </c>
      <c r="B41" s="19">
        <v>3.85</v>
      </c>
      <c r="C41" s="19">
        <v>98</v>
      </c>
      <c r="D41" s="19">
        <v>0</v>
      </c>
      <c r="E41" s="19">
        <v>1</v>
      </c>
      <c r="F41" s="19">
        <f>VLOOKUP($A41, 'iterasi 1'!$A$2:$F$51, 6, FALSE)</f>
        <v>1</v>
      </c>
      <c r="G41" s="19">
        <f>VLOOKUP($A41, 'iterasi 2'!A:F, 6, FALSE)</f>
        <v>1</v>
      </c>
      <c r="H41" s="19">
        <f>VLOOKUP($A41, 'iterasi 3'!$A$2:$F$51, 6, FALSE)</f>
        <v>0</v>
      </c>
      <c r="I41" s="19">
        <f>VLOOKUP($A41, 'iterasi 4'!$A$2:$F$51, 6, FALSE)</f>
        <v>1</v>
      </c>
      <c r="J41" s="19">
        <f>VLOOKUP($A41, 'iterasi 5'!$A$2:$F$51, 6, FALSE)</f>
        <v>1</v>
      </c>
      <c r="K41" s="19">
        <f t="shared" si="0"/>
        <v>1</v>
      </c>
      <c r="L41" s="19" t="str">
        <f t="shared" si="1"/>
        <v>BENAR</v>
      </c>
    </row>
    <row r="42" spans="1:12" x14ac:dyDescent="0.35">
      <c r="A42" s="19">
        <v>41</v>
      </c>
      <c r="B42" s="19">
        <v>3.22</v>
      </c>
      <c r="C42" s="19">
        <v>83</v>
      </c>
      <c r="D42" s="19">
        <v>0</v>
      </c>
      <c r="E42" s="19">
        <v>1</v>
      </c>
      <c r="F42" s="19">
        <f>VLOOKUP($A42, 'iterasi 1'!$A$2:$F$51, 6, FALSE)</f>
        <v>1</v>
      </c>
      <c r="G42" s="19">
        <f>VLOOKUP($A42, 'iterasi 2'!A:F, 6, FALSE)</f>
        <v>1</v>
      </c>
      <c r="H42" s="19">
        <f>VLOOKUP($A42, 'iterasi 3'!$A$2:$F$51, 6, FALSE)</f>
        <v>0</v>
      </c>
      <c r="I42" s="19">
        <f>VLOOKUP($A42, 'iterasi 4'!$A$2:$F$51, 6, FALSE)</f>
        <v>0</v>
      </c>
      <c r="J42" s="19">
        <f>VLOOKUP($A42, 'iterasi 5'!$A$2:$F$51, 6, FALSE)</f>
        <v>1</v>
      </c>
      <c r="K42" s="19">
        <f t="shared" si="0"/>
        <v>1</v>
      </c>
      <c r="L42" s="19" t="str">
        <f t="shared" si="1"/>
        <v>BENAR</v>
      </c>
    </row>
    <row r="43" spans="1:12" x14ac:dyDescent="0.35">
      <c r="A43" s="19">
        <v>42</v>
      </c>
      <c r="B43" s="19">
        <v>2.72</v>
      </c>
      <c r="C43" s="19">
        <v>67</v>
      </c>
      <c r="D43" s="19">
        <v>1</v>
      </c>
      <c r="E43" s="19">
        <v>0</v>
      </c>
      <c r="F43" s="19">
        <f>VLOOKUP($A43, 'iterasi 1'!$A$2:$F$51, 6, FALSE)</f>
        <v>0</v>
      </c>
      <c r="G43" s="19">
        <f>VLOOKUP($A43, 'iterasi 2'!A:F, 6, FALSE)</f>
        <v>0</v>
      </c>
      <c r="H43" s="19">
        <f>VLOOKUP($A43, 'iterasi 3'!$A$2:$F$51, 6, FALSE)</f>
        <v>1</v>
      </c>
      <c r="I43" s="19">
        <f>VLOOKUP($A43, 'iterasi 4'!$A$2:$F$51, 6, FALSE)</f>
        <v>0</v>
      </c>
      <c r="J43" s="19">
        <f>VLOOKUP($A43, 'iterasi 5'!$A$2:$F$51, 6, FALSE)</f>
        <v>0</v>
      </c>
      <c r="K43" s="19">
        <f t="shared" si="0"/>
        <v>0</v>
      </c>
      <c r="L43" s="19" t="str">
        <f t="shared" si="1"/>
        <v>BENAR</v>
      </c>
    </row>
    <row r="44" spans="1:12" x14ac:dyDescent="0.35">
      <c r="A44" s="19">
        <v>43</v>
      </c>
      <c r="B44" s="19">
        <v>3.18</v>
      </c>
      <c r="C44" s="19">
        <v>79.6875</v>
      </c>
      <c r="D44" s="19">
        <v>1</v>
      </c>
      <c r="E44" s="19">
        <v>1</v>
      </c>
      <c r="F44" s="19">
        <f>VLOOKUP($A44, 'iterasi 1'!$A$2:$F$51, 6, FALSE)</f>
        <v>1</v>
      </c>
      <c r="G44" s="19">
        <f>VLOOKUP($A44, 'iterasi 2'!A:F, 6, FALSE)</f>
        <v>0</v>
      </c>
      <c r="H44" s="19">
        <f>VLOOKUP($A44, 'iterasi 3'!$A$2:$F$51, 6, FALSE)</f>
        <v>1</v>
      </c>
      <c r="I44" s="19">
        <f>VLOOKUP($A44, 'iterasi 4'!$A$2:$F$51, 6, FALSE)</f>
        <v>0</v>
      </c>
      <c r="J44" s="19">
        <f>VLOOKUP($A44, 'iterasi 5'!$A$2:$F$51, 6, FALSE)</f>
        <v>1</v>
      </c>
      <c r="K44" s="19">
        <f t="shared" si="0"/>
        <v>1</v>
      </c>
      <c r="L44" s="19" t="str">
        <f t="shared" si="1"/>
        <v>BENAR</v>
      </c>
    </row>
    <row r="45" spans="1:12" x14ac:dyDescent="0.35">
      <c r="A45" s="19">
        <v>44</v>
      </c>
      <c r="B45" s="19">
        <v>3.48</v>
      </c>
      <c r="C45" s="19">
        <v>92</v>
      </c>
      <c r="D45" s="19">
        <v>0</v>
      </c>
      <c r="E45" s="19">
        <v>1</v>
      </c>
      <c r="F45" s="19">
        <f>VLOOKUP($A45, 'iterasi 1'!$A$2:$F$51, 6, FALSE)</f>
        <v>1</v>
      </c>
      <c r="G45" s="19">
        <f>VLOOKUP($A45, 'iterasi 2'!A:F, 6, FALSE)</f>
        <v>1</v>
      </c>
      <c r="H45" s="19">
        <f>VLOOKUP($A45, 'iterasi 3'!$A$2:$F$51, 6, FALSE)</f>
        <v>0</v>
      </c>
      <c r="I45" s="19">
        <f>VLOOKUP($A45, 'iterasi 4'!$A$2:$F$51, 6, FALSE)</f>
        <v>1</v>
      </c>
      <c r="J45" s="19">
        <f>VLOOKUP($A45, 'iterasi 5'!$A$2:$F$51, 6, FALSE)</f>
        <v>1</v>
      </c>
      <c r="K45" s="19">
        <f t="shared" si="0"/>
        <v>1</v>
      </c>
      <c r="L45" s="19" t="str">
        <f t="shared" si="1"/>
        <v>BENAR</v>
      </c>
    </row>
    <row r="46" spans="1:12" x14ac:dyDescent="0.35">
      <c r="A46" s="19">
        <v>45</v>
      </c>
      <c r="B46" s="19">
        <v>2.82</v>
      </c>
      <c r="C46" s="19">
        <v>76</v>
      </c>
      <c r="D46" s="19">
        <v>1</v>
      </c>
      <c r="E46" s="19">
        <v>0</v>
      </c>
      <c r="F46" s="19">
        <f>VLOOKUP($A46, 'iterasi 1'!$A$2:$F$51, 6, FALSE)</f>
        <v>0</v>
      </c>
      <c r="G46" s="19">
        <f>VLOOKUP($A46, 'iterasi 2'!A:F, 6, FALSE)</f>
        <v>0</v>
      </c>
      <c r="H46" s="19">
        <f>VLOOKUP($A46, 'iterasi 3'!$A$2:$F$51, 6, FALSE)</f>
        <v>1</v>
      </c>
      <c r="I46" s="19">
        <f>VLOOKUP($A46, 'iterasi 4'!$A$2:$F$51, 6, FALSE)</f>
        <v>0</v>
      </c>
      <c r="J46" s="19">
        <f>VLOOKUP($A46, 'iterasi 5'!$A$2:$F$51, 6, FALSE)</f>
        <v>1</v>
      </c>
      <c r="K46" s="19">
        <f t="shared" si="0"/>
        <v>0</v>
      </c>
      <c r="L46" s="19" t="str">
        <f t="shared" si="1"/>
        <v>BENAR</v>
      </c>
    </row>
    <row r="47" spans="1:12" x14ac:dyDescent="0.35">
      <c r="A47" s="19">
        <v>46</v>
      </c>
      <c r="B47" s="19">
        <v>3.62</v>
      </c>
      <c r="C47" s="19">
        <v>95</v>
      </c>
      <c r="D47" s="19">
        <v>0</v>
      </c>
      <c r="E47" s="19">
        <v>1</v>
      </c>
      <c r="F47" s="19">
        <f>VLOOKUP($A47, 'iterasi 1'!$A$2:$F$51, 6, FALSE)</f>
        <v>1</v>
      </c>
      <c r="G47" s="19">
        <f>VLOOKUP($A47, 'iterasi 2'!A:F, 6, FALSE)</f>
        <v>1</v>
      </c>
      <c r="H47" s="19">
        <f>VLOOKUP($A47, 'iterasi 3'!$A$2:$F$51, 6, FALSE)</f>
        <v>0</v>
      </c>
      <c r="I47" s="19">
        <f>VLOOKUP($A47, 'iterasi 4'!$A$2:$F$51, 6, FALSE)</f>
        <v>1</v>
      </c>
      <c r="J47" s="19">
        <f>VLOOKUP($A47, 'iterasi 5'!$A$2:$F$51, 6, FALSE)</f>
        <v>1</v>
      </c>
      <c r="K47" s="19">
        <f t="shared" si="0"/>
        <v>1</v>
      </c>
      <c r="L47" s="19" t="str">
        <f t="shared" si="1"/>
        <v>BENAR</v>
      </c>
    </row>
    <row r="48" spans="1:12" x14ac:dyDescent="0.35">
      <c r="A48" s="19">
        <v>47</v>
      </c>
      <c r="B48" s="19">
        <v>2.52</v>
      </c>
      <c r="C48" s="19">
        <v>61</v>
      </c>
      <c r="D48" s="19">
        <v>1</v>
      </c>
      <c r="E48" s="19">
        <v>0</v>
      </c>
      <c r="F48" s="19">
        <f>VLOOKUP($A48, 'iterasi 1'!$A$2:$F$51, 6, FALSE)</f>
        <v>0</v>
      </c>
      <c r="G48" s="19">
        <f>VLOOKUP($A48, 'iterasi 2'!A:F, 6, FALSE)</f>
        <v>0</v>
      </c>
      <c r="H48" s="19">
        <f>VLOOKUP($A48, 'iterasi 3'!$A$2:$F$51, 6, FALSE)</f>
        <v>1</v>
      </c>
      <c r="I48" s="19">
        <f>VLOOKUP($A48, 'iterasi 4'!$A$2:$F$51, 6, FALSE)</f>
        <v>0</v>
      </c>
      <c r="J48" s="19">
        <f>VLOOKUP($A48, 'iterasi 5'!$A$2:$F$51, 6, FALSE)</f>
        <v>0</v>
      </c>
      <c r="K48" s="19">
        <f t="shared" si="0"/>
        <v>0</v>
      </c>
      <c r="L48" s="19" t="str">
        <f t="shared" si="1"/>
        <v>BENAR</v>
      </c>
    </row>
    <row r="49" spans="1:12" x14ac:dyDescent="0.35">
      <c r="A49" s="19">
        <v>48</v>
      </c>
      <c r="B49" s="19">
        <v>3.02</v>
      </c>
      <c r="C49" s="19">
        <v>79</v>
      </c>
      <c r="D49" s="19">
        <v>1</v>
      </c>
      <c r="E49" s="19">
        <v>1</v>
      </c>
      <c r="F49" s="19">
        <f>VLOOKUP($A49, 'iterasi 1'!$A$2:$F$51, 6, FALSE)</f>
        <v>1</v>
      </c>
      <c r="G49" s="19">
        <f>VLOOKUP($A49, 'iterasi 2'!A:F, 6, FALSE)</f>
        <v>0</v>
      </c>
      <c r="H49" s="19">
        <f>VLOOKUP($A49, 'iterasi 3'!$A$2:$F$51, 6, FALSE)</f>
        <v>1</v>
      </c>
      <c r="I49" s="19">
        <f>VLOOKUP($A49, 'iterasi 4'!$A$2:$F$51, 6, FALSE)</f>
        <v>0</v>
      </c>
      <c r="J49" s="19">
        <f>VLOOKUP($A49, 'iterasi 5'!$A$2:$F$51, 6, FALSE)</f>
        <v>1</v>
      </c>
      <c r="K49" s="19">
        <f t="shared" si="0"/>
        <v>1</v>
      </c>
      <c r="L49" s="19" t="str">
        <f t="shared" si="1"/>
        <v>BENAR</v>
      </c>
    </row>
    <row r="50" spans="1:12" x14ac:dyDescent="0.35">
      <c r="A50" s="19">
        <v>49</v>
      </c>
      <c r="B50" s="19">
        <v>3.32</v>
      </c>
      <c r="C50" s="19">
        <v>84</v>
      </c>
      <c r="D50" s="19">
        <v>0</v>
      </c>
      <c r="E50" s="19">
        <v>1</v>
      </c>
      <c r="F50" s="19">
        <f>VLOOKUP($A50, 'iterasi 1'!$A$2:$F$51, 6, FALSE)</f>
        <v>1</v>
      </c>
      <c r="G50" s="19">
        <f>VLOOKUP($A50, 'iterasi 2'!A:F, 6, FALSE)</f>
        <v>1</v>
      </c>
      <c r="H50" s="19">
        <f>VLOOKUP($A50, 'iterasi 3'!$A$2:$F$51, 6, FALSE)</f>
        <v>0</v>
      </c>
      <c r="I50" s="19">
        <f>VLOOKUP($A50, 'iterasi 4'!$A$2:$F$51, 6, FALSE)</f>
        <v>0</v>
      </c>
      <c r="J50" s="19">
        <f>VLOOKUP($A50, 'iterasi 5'!$A$2:$F$51, 6, FALSE)</f>
        <v>1</v>
      </c>
      <c r="K50" s="19">
        <f t="shared" si="0"/>
        <v>1</v>
      </c>
      <c r="L50" s="19" t="str">
        <f t="shared" si="1"/>
        <v>BENAR</v>
      </c>
    </row>
    <row r="51" spans="1:12" x14ac:dyDescent="0.35">
      <c r="A51" s="19">
        <v>50</v>
      </c>
      <c r="B51" s="19">
        <v>2.98</v>
      </c>
      <c r="C51" s="19">
        <v>74</v>
      </c>
      <c r="D51" s="19">
        <v>1</v>
      </c>
      <c r="E51" s="19">
        <v>0</v>
      </c>
      <c r="F51" s="19">
        <f>VLOOKUP($A51, 'iterasi 1'!$A$2:$F$51, 6, FALSE)</f>
        <v>0</v>
      </c>
      <c r="G51" s="19">
        <f>VLOOKUP($A51, 'iterasi 2'!A:F, 6, FALSE)</f>
        <v>0</v>
      </c>
      <c r="H51" s="19">
        <f>VLOOKUP($A51, 'iterasi 3'!$A$2:$F$51, 6, FALSE)</f>
        <v>1</v>
      </c>
      <c r="I51" s="19">
        <f>VLOOKUP($A51, 'iterasi 4'!$A$2:$F$51, 6, FALSE)</f>
        <v>0</v>
      </c>
      <c r="J51" s="19">
        <f>VLOOKUP($A51, 'iterasi 5'!$A$2:$F$51, 6, FALSE)</f>
        <v>1</v>
      </c>
      <c r="K51" s="19">
        <f t="shared" si="0"/>
        <v>0</v>
      </c>
      <c r="L51" s="19" t="str">
        <f t="shared" si="1"/>
        <v>BENAR</v>
      </c>
    </row>
    <row r="55" spans="1:12" x14ac:dyDescent="0.35">
      <c r="F55" s="12" t="s">
        <v>22</v>
      </c>
      <c r="G55" s="13"/>
      <c r="H55" s="14">
        <f>COUNTIF(L2:L51, "BENAR")</f>
        <v>49</v>
      </c>
    </row>
    <row r="56" spans="1:12" x14ac:dyDescent="0.35">
      <c r="F56" s="15" t="s">
        <v>23</v>
      </c>
      <c r="G56" s="16"/>
      <c r="H56" s="17">
        <f>COUNTIF(L2:L51, "SALAH")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iterasi 1</vt:lpstr>
      <vt:lpstr>iterasi 2</vt:lpstr>
      <vt:lpstr>iterasi 3</vt:lpstr>
      <vt:lpstr>iterasi 4</vt:lpstr>
      <vt:lpstr>iterasi 5</vt:lpstr>
      <vt:lpstr>Hasil Akhir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izzat98asri@gmail.com</cp:lastModifiedBy>
  <dcterms:created xsi:type="dcterms:W3CDTF">2026-01-18T12:13:19Z</dcterms:created>
  <dcterms:modified xsi:type="dcterms:W3CDTF">2026-01-18T16:59:53Z</dcterms:modified>
</cp:coreProperties>
</file>